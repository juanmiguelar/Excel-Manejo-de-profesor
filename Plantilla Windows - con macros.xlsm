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AH13" i="1" l="1"/>
  <c r="AH15" i="1"/>
  <c r="AH17" i="1"/>
  <c r="AH19" i="1"/>
  <c r="AH21" i="1"/>
  <c r="AH23" i="1"/>
  <c r="AH25" i="1"/>
  <c r="AH27" i="1"/>
  <c r="AH29" i="1"/>
  <c r="AH31" i="1"/>
  <c r="AH33" i="1"/>
  <c r="AH35" i="1"/>
  <c r="AH37" i="1"/>
  <c r="AH39" i="1"/>
  <c r="AH41" i="1"/>
  <c r="AH43" i="1"/>
  <c r="AH45" i="1"/>
  <c r="AH47" i="1"/>
  <c r="AH49" i="1"/>
  <c r="AH14" i="1"/>
  <c r="AH16" i="1"/>
  <c r="AH18" i="1"/>
  <c r="AH20" i="1"/>
  <c r="AH22" i="1"/>
  <c r="AH24" i="1"/>
  <c r="AH26" i="1"/>
  <c r="AH28" i="1"/>
  <c r="AH30" i="1"/>
  <c r="AH32" i="1"/>
  <c r="AH34" i="1"/>
  <c r="AH36" i="1"/>
  <c r="AH38" i="1"/>
  <c r="AH40" i="1"/>
  <c r="AH42" i="1"/>
  <c r="AH44" i="1"/>
  <c r="AH46" i="1"/>
  <c r="AH48" i="1"/>
  <c r="AH12" i="1"/>
  <c r="V13" i="1"/>
  <c r="V15" i="1"/>
  <c r="V17" i="1"/>
  <c r="V19" i="1"/>
  <c r="V21" i="1"/>
  <c r="V23" i="1"/>
  <c r="V25" i="1"/>
  <c r="V27" i="1"/>
  <c r="V29" i="1"/>
  <c r="V31" i="1"/>
  <c r="V33" i="1"/>
  <c r="V35" i="1"/>
  <c r="V37" i="1"/>
  <c r="V39" i="1"/>
  <c r="V41" i="1"/>
  <c r="V43" i="1"/>
  <c r="V45" i="1"/>
  <c r="V47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12" i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J12" i="1"/>
  <c r="AI11" i="1"/>
  <c r="AH11" i="1"/>
  <c r="AG11" i="1"/>
  <c r="AF11" i="1"/>
  <c r="AE11" i="1"/>
  <c r="AD11" i="1"/>
  <c r="AC11" i="1"/>
  <c r="AB11" i="1"/>
  <c r="AA11" i="1"/>
  <c r="V11" i="1"/>
  <c r="W11" i="1"/>
  <c r="U11" i="1"/>
  <c r="T11" i="1"/>
  <c r="S11" i="1"/>
  <c r="R11" i="1"/>
  <c r="Q11" i="1"/>
  <c r="P11" i="1"/>
  <c r="O11" i="1"/>
  <c r="K11" i="1"/>
  <c r="J11" i="1"/>
  <c r="I11" i="1"/>
  <c r="H11" i="1"/>
  <c r="G11" i="1"/>
  <c r="F11" i="1"/>
  <c r="E11" i="1"/>
  <c r="D11" i="1"/>
  <c r="C11" i="1"/>
  <c r="AJ13" i="1" l="1"/>
  <c r="AJ17" i="1"/>
  <c r="AJ21" i="1"/>
  <c r="AJ16" i="1"/>
  <c r="AJ20" i="1"/>
  <c r="AJ24" i="1"/>
  <c r="AJ28" i="1"/>
  <c r="AJ32" i="1"/>
  <c r="AJ36" i="1"/>
  <c r="AJ40" i="1"/>
  <c r="AJ44" i="1"/>
  <c r="AJ48" i="1"/>
  <c r="AJ25" i="1"/>
  <c r="AJ29" i="1"/>
  <c r="AJ33" i="1"/>
  <c r="AJ37" i="1"/>
  <c r="AJ41" i="1"/>
  <c r="AJ45" i="1"/>
  <c r="AJ49" i="1"/>
  <c r="AJ12" i="1"/>
  <c r="AJ15" i="1"/>
  <c r="AJ19" i="1"/>
  <c r="AJ14" i="1"/>
  <c r="AJ18" i="1"/>
  <c r="AJ22" i="1"/>
  <c r="AJ26" i="1"/>
  <c r="AJ30" i="1"/>
  <c r="AJ34" i="1"/>
  <c r="AJ38" i="1"/>
  <c r="AJ42" i="1"/>
  <c r="AJ46" i="1"/>
  <c r="AJ23" i="1"/>
  <c r="AJ27" i="1"/>
  <c r="AJ31" i="1"/>
  <c r="AJ35" i="1"/>
  <c r="AJ39" i="1"/>
  <c r="AJ43" i="1"/>
  <c r="AJ47" i="1"/>
  <c r="X12" i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X16" i="1"/>
  <c r="X14" i="1"/>
  <c r="X49" i="1"/>
  <c r="X47" i="1"/>
  <c r="X45" i="1"/>
  <c r="X43" i="1"/>
  <c r="X41" i="1"/>
  <c r="X39" i="1"/>
  <c r="X37" i="1"/>
  <c r="X35" i="1"/>
  <c r="X33" i="1"/>
  <c r="X31" i="1"/>
  <c r="X29" i="1"/>
  <c r="X27" i="1"/>
  <c r="X25" i="1"/>
  <c r="X23" i="1"/>
  <c r="X21" i="1"/>
  <c r="X19" i="1"/>
  <c r="X17" i="1"/>
  <c r="X15" i="1"/>
  <c r="X13" i="1"/>
  <c r="L12" i="1"/>
  <c r="L11" i="1" l="1"/>
  <c r="AS31" i="1"/>
  <c r="AS35" i="1"/>
  <c r="AS34" i="1"/>
  <c r="AS43" i="1"/>
  <c r="AS15" i="1"/>
  <c r="AS20" i="1"/>
  <c r="AS38" i="1"/>
  <c r="AS18" i="1"/>
  <c r="AS32" i="1"/>
  <c r="AS36" i="1"/>
  <c r="AS45" i="1"/>
  <c r="AS17" i="1"/>
  <c r="AS42" i="1"/>
  <c r="AS47" i="1"/>
  <c r="AS19" i="1"/>
  <c r="AS29" i="1"/>
  <c r="AS44" i="1"/>
  <c r="AS22" i="1"/>
  <c r="AS50" i="1"/>
  <c r="AS28" i="1"/>
  <c r="AS37" i="1"/>
  <c r="AS41" i="1"/>
  <c r="AS40" i="1"/>
  <c r="AS49" i="1"/>
  <c r="AS21" i="1"/>
  <c r="AS46" i="1"/>
  <c r="AS14" i="1"/>
  <c r="AS24" i="1"/>
  <c r="AS27" i="1"/>
  <c r="AS26" i="1"/>
  <c r="AS30" i="1"/>
  <c r="AS39" i="1"/>
  <c r="AS48" i="1"/>
  <c r="AS16" i="1"/>
  <c r="AS25" i="1"/>
  <c r="AS23" i="1"/>
  <c r="AS33" i="1"/>
  <c r="L48" i="1" l="1"/>
  <c r="L44" i="1"/>
  <c r="L40" i="1"/>
  <c r="L36" i="1"/>
  <c r="L32" i="1"/>
  <c r="L28" i="1"/>
  <c r="L24" i="1"/>
  <c r="L20" i="1"/>
  <c r="L16" i="1"/>
  <c r="L49" i="1"/>
  <c r="L45" i="1"/>
  <c r="L41" i="1"/>
  <c r="L37" i="1"/>
  <c r="L33" i="1"/>
  <c r="L29" i="1"/>
  <c r="L25" i="1"/>
  <c r="L21" i="1"/>
  <c r="L17" i="1"/>
  <c r="L13" i="1"/>
  <c r="L46" i="1"/>
  <c r="L42" i="1"/>
  <c r="L38" i="1"/>
  <c r="L34" i="1"/>
  <c r="L30" i="1"/>
  <c r="L26" i="1"/>
  <c r="L22" i="1"/>
  <c r="L18" i="1"/>
  <c r="L14" i="1"/>
  <c r="L47" i="1"/>
  <c r="L43" i="1"/>
  <c r="L39" i="1"/>
  <c r="L35" i="1"/>
  <c r="L31" i="1"/>
  <c r="L27" i="1"/>
  <c r="L23" i="1"/>
  <c r="L19" i="1"/>
  <c r="L15" i="1"/>
  <c r="M11" i="1"/>
  <c r="M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12" i="1"/>
  <c r="N11" i="1"/>
  <c r="M13" i="1" l="1"/>
  <c r="Y13" i="1"/>
  <c r="N48" i="1"/>
  <c r="N26" i="1"/>
  <c r="N19" i="1"/>
  <c r="N13" i="1"/>
  <c r="N32" i="1"/>
  <c r="N29" i="1"/>
  <c r="N43" i="1"/>
  <c r="N44" i="1"/>
  <c r="N22" i="1"/>
  <c r="Z11" i="1"/>
  <c r="N15" i="1"/>
  <c r="N25" i="1"/>
  <c r="N31" i="1"/>
  <c r="N38" i="1"/>
  <c r="N46" i="1"/>
  <c r="N40" i="1"/>
  <c r="N17" i="1"/>
  <c r="N36" i="1"/>
  <c r="N30" i="1"/>
  <c r="N12" i="1"/>
  <c r="N35" i="1"/>
  <c r="N16" i="1"/>
  <c r="N24" i="1"/>
  <c r="N39" i="1"/>
  <c r="N28" i="1"/>
  <c r="N45" i="1"/>
  <c r="N23" i="1"/>
  <c r="N27" i="1"/>
  <c r="N18" i="1"/>
  <c r="N41" i="1"/>
  <c r="N33" i="1"/>
  <c r="N47" i="1"/>
  <c r="N21" i="1"/>
  <c r="N34" i="1"/>
  <c r="N42" i="1"/>
  <c r="N37" i="1"/>
  <c r="N14" i="1"/>
  <c r="N49" i="1"/>
  <c r="N20" i="1"/>
  <c r="AM13" i="1" l="1"/>
  <c r="AN13" i="1" s="1"/>
  <c r="M14" i="1"/>
  <c r="Y14" i="1"/>
  <c r="Z28" i="1"/>
  <c r="Z21" i="1"/>
  <c r="Z46" i="1"/>
  <c r="Z17" i="1"/>
  <c r="Z33" i="1"/>
  <c r="Z39" i="1"/>
  <c r="Z14" i="1"/>
  <c r="Z18" i="1"/>
  <c r="Z34" i="1"/>
  <c r="Z29" i="1"/>
  <c r="Z43" i="1"/>
  <c r="Z35" i="1"/>
  <c r="Z41" i="1"/>
  <c r="Z25" i="1"/>
  <c r="Z16" i="1"/>
  <c r="Z47" i="1"/>
  <c r="Z31" i="1"/>
  <c r="Z27" i="1"/>
  <c r="Z20" i="1"/>
  <c r="Z30" i="1"/>
  <c r="Z13" i="1"/>
  <c r="Z32" i="1"/>
  <c r="Z24" i="1"/>
  <c r="Z36" i="1"/>
  <c r="Z19" i="1"/>
  <c r="Z45" i="1"/>
  <c r="Z15" i="1"/>
  <c r="Z44" i="1"/>
  <c r="Z48" i="1"/>
  <c r="Z49" i="1"/>
  <c r="AL11" i="1"/>
  <c r="Z40" i="1"/>
  <c r="Z37" i="1"/>
  <c r="Z23" i="1"/>
  <c r="Z22" i="1"/>
  <c r="Z26" i="1"/>
  <c r="Z38" i="1"/>
  <c r="Z42" i="1"/>
  <c r="Z12" i="1"/>
  <c r="AM14" i="1" l="1"/>
  <c r="AN14" i="1" s="1"/>
  <c r="M15" i="1"/>
  <c r="Y15" i="1"/>
  <c r="AL31" i="1"/>
  <c r="AL16" i="1"/>
  <c r="AL39" i="1"/>
  <c r="AL13" i="1"/>
  <c r="AL44" i="1"/>
  <c r="AL26" i="1"/>
  <c r="AL27" i="1"/>
  <c r="AL33" i="1"/>
  <c r="AL20" i="1"/>
  <c r="AL28" i="1"/>
  <c r="AL37" i="1"/>
  <c r="AL22" i="1"/>
  <c r="AL38" i="1"/>
  <c r="AL19" i="1"/>
  <c r="AL43" i="1"/>
  <c r="AL30" i="1"/>
  <c r="AL15" i="1"/>
  <c r="AL21" i="1"/>
  <c r="AL32" i="1"/>
  <c r="AL42" i="1"/>
  <c r="AL48" i="1"/>
  <c r="AL23" i="1"/>
  <c r="AL41" i="1"/>
  <c r="AL45" i="1"/>
  <c r="AL47" i="1"/>
  <c r="AL14" i="1"/>
  <c r="AL24" i="1"/>
  <c r="AL34" i="1"/>
  <c r="AL36" i="1"/>
  <c r="AL29" i="1"/>
  <c r="AL25" i="1"/>
  <c r="AL49" i="1"/>
  <c r="AL35" i="1"/>
  <c r="AL18" i="1"/>
  <c r="AL17" i="1"/>
  <c r="AL40" i="1"/>
  <c r="AL46" i="1"/>
  <c r="AL12" i="1"/>
  <c r="AM15" i="1" l="1"/>
  <c r="AN15" i="1" s="1"/>
  <c r="M16" i="1"/>
  <c r="Y16" i="1"/>
  <c r="AM16" i="1" l="1"/>
  <c r="AN16" i="1" s="1"/>
  <c r="M17" i="1"/>
  <c r="Y17" i="1"/>
  <c r="AM17" i="1" l="1"/>
  <c r="AN17" i="1" s="1"/>
  <c r="M18" i="1"/>
  <c r="Y18" i="1"/>
  <c r="AM18" i="1" l="1"/>
  <c r="AN18" i="1" s="1"/>
  <c r="M19" i="1"/>
  <c r="Y19" i="1"/>
  <c r="AM19" i="1" l="1"/>
  <c r="AN19" i="1" s="1"/>
  <c r="M20" i="1"/>
  <c r="Y20" i="1"/>
  <c r="AM20" i="1" l="1"/>
  <c r="AN20" i="1" s="1"/>
  <c r="M21" i="1"/>
  <c r="Y21" i="1"/>
  <c r="AM21" i="1" l="1"/>
  <c r="AN21" i="1" s="1"/>
  <c r="M22" i="1"/>
  <c r="Y22" i="1"/>
  <c r="AM22" i="1" l="1"/>
  <c r="AN22" i="1" s="1"/>
  <c r="M23" i="1"/>
  <c r="Y23" i="1"/>
  <c r="AM23" i="1" l="1"/>
  <c r="AN23" i="1" s="1"/>
  <c r="M24" i="1"/>
  <c r="Y24" i="1"/>
  <c r="AM24" i="1" l="1"/>
  <c r="AN24" i="1" s="1"/>
  <c r="M25" i="1"/>
  <c r="Y25" i="1"/>
  <c r="AM25" i="1" l="1"/>
  <c r="AN25" i="1" s="1"/>
  <c r="M26" i="1"/>
  <c r="Y26" i="1"/>
  <c r="AM26" i="1" l="1"/>
  <c r="AN26" i="1" s="1"/>
  <c r="M27" i="1"/>
  <c r="Y27" i="1"/>
  <c r="AM27" i="1" l="1"/>
  <c r="AN27" i="1" s="1"/>
  <c r="M28" i="1"/>
  <c r="Y28" i="1"/>
  <c r="AM28" i="1" l="1"/>
  <c r="AN28" i="1" s="1"/>
  <c r="M29" i="1"/>
  <c r="Y29" i="1"/>
  <c r="AM29" i="1" l="1"/>
  <c r="AN29" i="1" s="1"/>
  <c r="M30" i="1"/>
  <c r="Y30" i="1"/>
  <c r="AM30" i="1" l="1"/>
  <c r="AN30" i="1" s="1"/>
  <c r="M31" i="1"/>
  <c r="Y31" i="1"/>
  <c r="AM31" i="1" l="1"/>
  <c r="AN31" i="1" s="1"/>
  <c r="M32" i="1"/>
  <c r="Y32" i="1"/>
  <c r="AM32" i="1" l="1"/>
  <c r="AN32" i="1" s="1"/>
  <c r="M33" i="1"/>
  <c r="Y33" i="1"/>
  <c r="AM33" i="1" l="1"/>
  <c r="AN33" i="1" s="1"/>
  <c r="M34" i="1"/>
  <c r="Y34" i="1"/>
  <c r="AM34" i="1" l="1"/>
  <c r="AN34" i="1" s="1"/>
  <c r="M35" i="1"/>
  <c r="Y35" i="1"/>
  <c r="AM35" i="1" l="1"/>
  <c r="AN35" i="1" s="1"/>
  <c r="M36" i="1"/>
  <c r="Y36" i="1"/>
  <c r="AM36" i="1" l="1"/>
  <c r="AN36" i="1" s="1"/>
  <c r="M37" i="1"/>
  <c r="Y37" i="1"/>
  <c r="AM37" i="1" l="1"/>
  <c r="AN37" i="1" s="1"/>
  <c r="M38" i="1"/>
  <c r="Y38" i="1"/>
  <c r="AM38" i="1" l="1"/>
  <c r="AN38" i="1" s="1"/>
  <c r="M39" i="1"/>
  <c r="Y39" i="1"/>
  <c r="AM39" i="1" l="1"/>
  <c r="AN39" i="1" s="1"/>
  <c r="M40" i="1"/>
  <c r="Y40" i="1"/>
  <c r="AM40" i="1" l="1"/>
  <c r="AN40" i="1" s="1"/>
  <c r="M41" i="1"/>
  <c r="Y41" i="1"/>
  <c r="AM41" i="1" l="1"/>
  <c r="AN41" i="1" s="1"/>
  <c r="M42" i="1"/>
  <c r="Y42" i="1"/>
  <c r="AM42" i="1" l="1"/>
  <c r="AN42" i="1" s="1"/>
  <c r="M43" i="1"/>
  <c r="Y43" i="1"/>
  <c r="AM43" i="1" l="1"/>
  <c r="AN43" i="1" s="1"/>
  <c r="M44" i="1"/>
  <c r="Y44" i="1"/>
  <c r="AM44" i="1" l="1"/>
  <c r="AN44" i="1" s="1"/>
  <c r="M45" i="1"/>
  <c r="Y45" i="1"/>
  <c r="AM45" i="1" l="1"/>
  <c r="AN45" i="1" s="1"/>
  <c r="M46" i="1"/>
  <c r="Y46" i="1"/>
  <c r="AM46" i="1" l="1"/>
  <c r="AN46" i="1" s="1"/>
  <c r="M47" i="1"/>
  <c r="Y47" i="1"/>
  <c r="AM47" i="1" l="1"/>
  <c r="AN47" i="1" s="1"/>
  <c r="M48" i="1"/>
  <c r="Y48" i="1"/>
  <c r="AM48" i="1" l="1"/>
  <c r="AN48" i="1" s="1"/>
  <c r="M49" i="1"/>
  <c r="Y49" i="1"/>
  <c r="AM49" i="1" l="1"/>
  <c r="AN49" i="1" s="1"/>
  <c r="Y12" i="1"/>
  <c r="AM12" i="1" s="1"/>
  <c r="AN12" i="1" s="1"/>
  <c r="AJ11" i="1"/>
  <c r="X11" i="1"/>
  <c r="AK11" i="1" l="1"/>
  <c r="Y11" i="1"/>
  <c r="AM11" i="1" l="1"/>
  <c r="AN11" i="1" s="1"/>
</calcChain>
</file>

<file path=xl/sharedStrings.xml><?xml version="1.0" encoding="utf-8"?>
<sst xmlns="http://schemas.openxmlformats.org/spreadsheetml/2006/main" count="69" uniqueCount="33">
  <si>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</si>
  <si>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</si>
  <si>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</si>
  <si>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</si>
  <si>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</si>
  <si>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</si>
  <si>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</si>
  <si>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</si>
  <si>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</si>
  <si>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</si>
  <si>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</si>
  <si>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</si>
  <si>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</si>
  <si>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</si>
  <si>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</si>
  <si>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</si>
  <si>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</si>
  <si>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</si>
  <si>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</si>
  <si>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</si>
  <si>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</si>
  <si>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</si>
  <si>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</si>
  <si>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</si>
  <si>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</si>
  <si>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</si>
  <si>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</si>
  <si>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</si>
  <si>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</si>
  <si>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</si>
  <si>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</si>
  <si>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</si>
  <si>
    <t>I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</si>
</sst>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U57"/>
  <sheetViews>
    <sheetView tabSelected="1" topLeftCell="Z6" zoomScale="50" zoomScaleNormal="50" workbookViewId="0">
      <selection activeCell="AI12" sqref="AI12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32.85546875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9.42578125" style="28" customWidth="1"/>
    <col min="27" max="27" width="24.7109375" style="28" customWidth="1"/>
    <col min="28" max="28" width="21.7109375" style="28" customWidth="1"/>
    <col min="29" max="30" width="21.140625" style="28" customWidth="1"/>
    <col min="31" max="33" width="14.42578125" style="28"/>
    <col min="34" max="34" width="18.28515625" style="28" customWidth="1"/>
    <col min="35" max="35" width="16.7109375" style="28" customWidth="1"/>
    <col min="36" max="36" width="17.5703125" style="28" customWidth="1"/>
    <col min="37" max="37" width="30.7109375" style="28" customWidth="1"/>
    <col min="38" max="38" width="39.85546875" style="28" customWidth="1"/>
    <col min="39" max="41" width="25" style="28" customWidth="1"/>
    <col min="42" max="42" width="14.42578125" style="28"/>
    <col min="43" max="43" width="30.140625" style="28" customWidth="1"/>
    <col min="44" max="16384" width="14.42578125" style="28"/>
  </cols>
  <sheetData>
    <row r="2" spans="1:47" ht="15.75" customHeight="1" x14ac:dyDescent="0.2">
      <c r="O2" s="45" t="s">
        <v>24</v>
      </c>
      <c r="P2" s="46"/>
      <c r="Q2" s="46"/>
      <c r="R2" s="46"/>
      <c r="S2" s="46"/>
      <c r="T2" s="46"/>
      <c r="U2" s="46"/>
      <c r="V2" s="46"/>
      <c r="W2" s="46"/>
      <c r="X2" s="47"/>
    </row>
    <row r="3" spans="1:47" ht="21" x14ac:dyDescent="0.2">
      <c r="C3" s="63" t="s">
        <v>0</v>
      </c>
      <c r="D3" s="64"/>
      <c r="E3" s="64"/>
      <c r="F3" s="64"/>
      <c r="G3"/>
      <c r="H3"/>
      <c r="I3"/>
      <c r="J3"/>
      <c r="K3"/>
      <c r="L3"/>
      <c r="O3" s="35"/>
      <c r="P3" s="60" t="s">
        <v>10</v>
      </c>
      <c r="Q3" s="58"/>
      <c r="R3" s="68" t="s">
        <v>11</v>
      </c>
      <c r="S3" s="69"/>
      <c r="T3" s="69"/>
      <c r="U3" s="70"/>
      <c r="V3" s="57"/>
      <c r="W3" s="58"/>
      <c r="X3" s="26"/>
    </row>
    <row r="4" spans="1:47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7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10</v>
      </c>
      <c r="P5" s="27">
        <v>5</v>
      </c>
      <c r="Q5" s="27">
        <v>5</v>
      </c>
      <c r="R5" s="27">
        <v>100</v>
      </c>
      <c r="S5" s="27">
        <v>35</v>
      </c>
      <c r="T5" s="27">
        <v>100</v>
      </c>
      <c r="U5" s="27">
        <v>35</v>
      </c>
      <c r="V5" s="27">
        <v>5</v>
      </c>
      <c r="W5" s="27">
        <v>5</v>
      </c>
      <c r="X5" s="27">
        <v>67</v>
      </c>
      <c r="AH5" s="34" t="s">
        <v>26</v>
      </c>
    </row>
    <row r="7" spans="1:47" ht="12.75" x14ac:dyDescent="0.2">
      <c r="A7" s="25"/>
      <c r="B7" s="29"/>
    </row>
    <row r="8" spans="1:47" ht="27" x14ac:dyDescent="0.2">
      <c r="A8" s="25"/>
      <c r="C8" s="48" t="s">
        <v>7</v>
      </c>
      <c r="D8" s="49"/>
      <c r="E8" s="49"/>
      <c r="F8" s="49"/>
      <c r="G8" s="49"/>
      <c r="H8" s="49"/>
      <c r="I8" s="49"/>
      <c r="J8" s="49"/>
      <c r="K8" s="49"/>
      <c r="L8" s="49"/>
      <c r="M8" s="50"/>
      <c r="N8" s="30"/>
      <c r="O8" s="42" t="s">
        <v>8</v>
      </c>
      <c r="P8" s="43"/>
      <c r="Q8" s="43"/>
      <c r="R8" s="43"/>
      <c r="S8" s="43"/>
      <c r="T8" s="43"/>
      <c r="U8" s="43"/>
      <c r="V8" s="43"/>
      <c r="W8" s="43"/>
      <c r="X8" s="43"/>
      <c r="Y8" s="44"/>
      <c r="AA8" s="72" t="s">
        <v>9</v>
      </c>
      <c r="AB8" s="43"/>
      <c r="AC8" s="43"/>
      <c r="AD8" s="43"/>
      <c r="AE8" s="43"/>
      <c r="AF8" s="43"/>
      <c r="AG8" s="43"/>
      <c r="AH8" s="43"/>
      <c r="AI8" s="43"/>
      <c r="AJ8" s="43"/>
      <c r="AK8" s="44"/>
      <c r="AL8" s="7"/>
      <c r="AM8" s="7"/>
      <c r="AN8" s="7"/>
      <c r="AO8" s="7"/>
    </row>
    <row r="9" spans="1:47" ht="23.25" x14ac:dyDescent="0.2">
      <c r="A9" s="25"/>
      <c r="C9" s="3"/>
      <c r="D9" s="59" t="s">
        <v>10</v>
      </c>
      <c r="E9" s="53"/>
      <c r="F9" s="59" t="s">
        <v>11</v>
      </c>
      <c r="G9" s="61"/>
      <c r="H9" s="61"/>
      <c r="I9" s="62"/>
      <c r="J9" s="51"/>
      <c r="K9" s="52"/>
      <c r="L9" s="52"/>
      <c r="M9" s="53"/>
      <c r="N9" s="30"/>
      <c r="O9" s="31"/>
      <c r="P9" s="54" t="s">
        <v>10</v>
      </c>
      <c r="Q9" s="55"/>
      <c r="R9" s="65" t="s">
        <v>11</v>
      </c>
      <c r="S9" s="66"/>
      <c r="T9" s="66"/>
      <c r="U9" s="67"/>
      <c r="V9" s="56"/>
      <c r="W9" s="52"/>
      <c r="X9" s="52"/>
      <c r="Y9" s="53"/>
      <c r="AA9" s="32"/>
      <c r="AB9" s="73" t="s">
        <v>10</v>
      </c>
      <c r="AC9" s="55"/>
      <c r="AD9" s="75" t="s">
        <v>11</v>
      </c>
      <c r="AE9" s="76"/>
      <c r="AF9" s="76"/>
      <c r="AG9" s="77"/>
      <c r="AH9" s="74"/>
      <c r="AI9" s="52"/>
      <c r="AJ9" s="52"/>
      <c r="AK9" s="53"/>
      <c r="AS9" s="71"/>
      <c r="AT9" s="71"/>
      <c r="AU9" s="71"/>
    </row>
    <row r="10" spans="1:47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32</v>
      </c>
      <c r="AE10" s="12" t="s">
        <v>15</v>
      </c>
      <c r="AF10" s="12" t="s">
        <v>32</v>
      </c>
      <c r="AG10" s="12" t="s">
        <v>16</v>
      </c>
      <c r="AH10" s="12" t="s">
        <v>17</v>
      </c>
      <c r="AI10" s="12" t="s">
        <v>18</v>
      </c>
      <c r="AJ10" s="12" t="s">
        <v>19</v>
      </c>
      <c r="AK10" s="13" t="s">
        <v>20</v>
      </c>
      <c r="AL10" s="14"/>
      <c r="AM10" s="37" t="s">
        <v>21</v>
      </c>
      <c r="AN10" s="37" t="s">
        <v>22</v>
      </c>
      <c r="AO10" s="7"/>
    </row>
    <row r="11" spans="1:47" ht="17.25" customHeight="1" x14ac:dyDescent="0.2">
      <c r="A11" s="2" t="s">
        <v>23</v>
      </c>
      <c r="B11" s="1" t="s">
        <v>25</v>
      </c>
      <c r="C11" s="5">
        <f>copyValue(O5)</f>
        <v>10</v>
      </c>
      <c r="D11" s="5">
        <f>copyValue(P5)</f>
        <v>5</v>
      </c>
      <c r="E11" s="5">
        <f>copyValue(Q5)</f>
        <v>5</v>
      </c>
      <c r="F11" s="5">
        <f>copyValue(R5)</f>
        <v>100</v>
      </c>
      <c r="G11" s="5">
        <f>copyValue(S5)</f>
        <v>35</v>
      </c>
      <c r="H11" s="5">
        <f>copyValue(T5)</f>
        <v>100</v>
      </c>
      <c r="I11" s="5">
        <f>copyValue(U5)</f>
        <v>35</v>
      </c>
      <c r="J11" s="5">
        <f>copyValue(V5)</f>
        <v>5</v>
      </c>
      <c r="K11" s="5">
        <f>copyValue(W5)</f>
        <v>5</v>
      </c>
      <c r="L11" s="5">
        <f>SUM(C11,D11,E11,G11,I11,J11,K11)</f>
        <v>100</v>
      </c>
      <c r="M11" s="5">
        <f t="shared" ref="M11:M49" si="0">PRODUCT(L11,30%)</f>
        <v>30</v>
      </c>
      <c r="N11" s="41" t="str">
        <f t="shared" ref="N11:N49" si="1">copyValue(B11)</f>
        <v>Estudiantes</v>
      </c>
      <c r="O11" s="15">
        <f>copyValue(O5)</f>
        <v>10</v>
      </c>
      <c r="P11" s="16">
        <f>copyValue(P5)</f>
        <v>5</v>
      </c>
      <c r="Q11" s="16">
        <f>copyValue(Q5)</f>
        <v>5</v>
      </c>
      <c r="R11" s="16">
        <f>copyValue(R5)</f>
        <v>100</v>
      </c>
      <c r="S11" s="16">
        <f>copyValue(S5)</f>
        <v>35</v>
      </c>
      <c r="T11" s="16">
        <f>copyValue(T5)</f>
        <v>100</v>
      </c>
      <c r="U11" s="16">
        <f>copyValue(U5)</f>
        <v>35</v>
      </c>
      <c r="V11" s="16">
        <f>copyValue(V5)</f>
        <v>5</v>
      </c>
      <c r="W11" s="16">
        <f>copyValue(W5)</f>
        <v>5</v>
      </c>
      <c r="X11" s="16">
        <f>SUM(O11,P11,Q11,S11,U11,V11,W11)</f>
        <v>100</v>
      </c>
      <c r="Y11" s="16">
        <f t="shared" ref="Y11:Y49" si="2">PRODUCT(X11,30%)</f>
        <v>30</v>
      </c>
      <c r="Z11" s="40" t="str">
        <f>copyValue(N11)</f>
        <v>Estudiantes</v>
      </c>
      <c r="AA11" s="17">
        <f>copyValue(O5)</f>
        <v>10</v>
      </c>
      <c r="AB11" s="17">
        <f>copyValue(P5)</f>
        <v>5</v>
      </c>
      <c r="AC11" s="17">
        <f>copyValue(Q5)</f>
        <v>5</v>
      </c>
      <c r="AD11" s="17">
        <f>copyValue(R5)</f>
        <v>100</v>
      </c>
      <c r="AE11" s="17">
        <f>copyValue(S5)</f>
        <v>35</v>
      </c>
      <c r="AF11" s="17">
        <f>copyValue(T5)</f>
        <v>100</v>
      </c>
      <c r="AG11" s="17">
        <f>copyValue(U5)</f>
        <v>35</v>
      </c>
      <c r="AH11" s="17">
        <f>copyValue(V5)</f>
        <v>5</v>
      </c>
      <c r="AI11" s="17">
        <f>copyValue(W5)</f>
        <v>5</v>
      </c>
      <c r="AJ11" s="17">
        <f>SUM(AA11,AB11,AC11,AE11,AG11,AH11,AI11)</f>
        <v>100</v>
      </c>
      <c r="AK11" s="17">
        <f t="shared" ref="AK11:AK49" si="3">PRODUCT(AJ11,40%)</f>
        <v>40</v>
      </c>
      <c r="AL11" s="39" t="str">
        <f>copyValue(Z11)</f>
        <v>Estudiantes</v>
      </c>
      <c r="AM11" s="38">
        <f t="shared" ref="AM11" si="4">SUM(AK11,Y11,M11)</f>
        <v>100</v>
      </c>
      <c r="AN11" s="38" t="str">
        <f t="shared" ref="AN11" si="5">IF(AM11 &gt;=70,"Aprobado","Reprobado")</f>
        <v>Aprobado</v>
      </c>
      <c r="AO11" s="18"/>
      <c r="AS11" s="34"/>
      <c r="AT11" s="34"/>
      <c r="AU11" s="34"/>
    </row>
    <row r="12" spans="1:47" ht="16.5" customHeight="1" x14ac:dyDescent="0.2">
      <c r="A12" s="19">
        <v>1</v>
      </c>
      <c r="B12" s="36"/>
      <c r="C12" s="20">
        <v>10</v>
      </c>
      <c r="D12" s="20">
        <v>5</v>
      </c>
      <c r="E12" s="20">
        <v>5</v>
      </c>
      <c r="F12" s="20">
        <v>100</v>
      </c>
      <c r="G12" s="20">
        <v>35</v>
      </c>
      <c r="H12" s="20">
        <v>100</v>
      </c>
      <c r="I12" s="20">
        <v>35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0"/>
        <v>30</v>
      </c>
      <c r="N12" s="28" t="str">
        <f t="shared" si="1"/>
        <v/>
      </c>
      <c r="O12" s="20">
        <v>10</v>
      </c>
      <c r="P12" s="20">
        <v>5</v>
      </c>
      <c r="Q12" s="20">
        <v>5</v>
      </c>
      <c r="R12" s="22">
        <v>100</v>
      </c>
      <c r="S12" s="20">
        <v>35</v>
      </c>
      <c r="T12" s="20">
        <v>100</v>
      </c>
      <c r="U12" s="20">
        <v>35</v>
      </c>
      <c r="V12" s="22">
        <f>calcularConcepto(SUM(O12,P12,Q12,S12,U12))</f>
        <v>5</v>
      </c>
      <c r="W12" s="20">
        <v>5</v>
      </c>
      <c r="X12" s="22">
        <f>SUM(O12,P12,Q12,S12,U12,V12,W12)</f>
        <v>100</v>
      </c>
      <c r="Y12" s="20">
        <f t="shared" si="2"/>
        <v>30</v>
      </c>
      <c r="Z12" s="28" t="str">
        <f>copyValue(N12)</f>
        <v/>
      </c>
      <c r="AA12" s="20">
        <v>10</v>
      </c>
      <c r="AB12" s="20">
        <v>5</v>
      </c>
      <c r="AC12" s="22">
        <v>5</v>
      </c>
      <c r="AD12" s="22">
        <v>100</v>
      </c>
      <c r="AE12" s="22">
        <v>35</v>
      </c>
      <c r="AF12" s="22">
        <v>100</v>
      </c>
      <c r="AG12" s="22">
        <v>35</v>
      </c>
      <c r="AH12" s="22">
        <f>calcularConcepto(SUM(AA12,AB12,AC12,AE12,AG12))</f>
        <v>5</v>
      </c>
      <c r="AI12" s="22"/>
      <c r="AJ12" s="22">
        <f>SUM(AA12,AB12,AC12,AE12,AG12,AH12,AI12)</f>
        <v>95</v>
      </c>
      <c r="AK12" s="22">
        <f t="shared" si="3"/>
        <v>38</v>
      </c>
      <c r="AL12" s="28" t="str">
        <f>copyValue(Z12)</f>
        <v/>
      </c>
      <c r="AM12" s="22">
        <f>SUM(AK12,Y12,M12)</f>
        <v>98</v>
      </c>
      <c r="AN12" s="22" t="str">
        <f>IF(AM12 &gt;=70,"Aprobado","Reprobado")</f>
        <v>Aprobado</v>
      </c>
      <c r="AQ12" s="34"/>
      <c r="AR12" s="34"/>
      <c r="AS12" s="34"/>
    </row>
    <row r="13" spans="1:47" ht="15" customHeight="1" x14ac:dyDescent="0.2">
      <c r="A13" s="19">
        <v>2</v>
      </c>
      <c r="B13" s="33"/>
      <c r="C13" s="22">
        <v>10</v>
      </c>
      <c r="D13" s="22">
        <v>5</v>
      </c>
      <c r="E13" s="22">
        <v>5</v>
      </c>
      <c r="F13" s="22">
        <v>100</v>
      </c>
      <c r="G13" s="22">
        <v>35</v>
      </c>
      <c r="H13" s="22">
        <v>100</v>
      </c>
      <c r="I13" s="22">
        <v>35</v>
      </c>
      <c r="J13" s="22">
        <f t="shared" ref="J13:J49" si="6">calcularConcepto(SUM(C13,D13,E13,G13,I13))</f>
        <v>5</v>
      </c>
      <c r="K13" s="22">
        <v>5</v>
      </c>
      <c r="L13" s="22">
        <f t="shared" ref="L13:L49" si="7">SUM(C13,D13,E13,G13,I13,J13,K13)</f>
        <v>100</v>
      </c>
      <c r="M13" s="22">
        <f t="shared" si="0"/>
        <v>30</v>
      </c>
      <c r="N13" s="28" t="str">
        <f t="shared" si="1"/>
        <v/>
      </c>
      <c r="O13" s="22">
        <v>10</v>
      </c>
      <c r="P13" s="22">
        <v>5</v>
      </c>
      <c r="Q13" s="22">
        <v>5</v>
      </c>
      <c r="R13" s="22">
        <v>100</v>
      </c>
      <c r="S13" s="22">
        <v>35</v>
      </c>
      <c r="T13" s="22">
        <v>100</v>
      </c>
      <c r="U13" s="22">
        <v>35</v>
      </c>
      <c r="V13" s="22">
        <f t="shared" ref="V13:V49" si="8">calcularConcepto(SUM(O13,P13,Q13,S13,U13))</f>
        <v>5</v>
      </c>
      <c r="W13" s="22">
        <v>5</v>
      </c>
      <c r="X13" s="22">
        <f t="shared" ref="X13:X49" si="9">SUM(O13,P13,Q13,S13,U13,V13,W13)</f>
        <v>100</v>
      </c>
      <c r="Y13" s="22">
        <f t="shared" si="2"/>
        <v>30</v>
      </c>
      <c r="Z13" s="28" t="str">
        <f t="shared" ref="Z13:Z49" si="10">copyValue(N13)</f>
        <v/>
      </c>
      <c r="AA13" s="22">
        <v>10</v>
      </c>
      <c r="AB13" s="22">
        <v>5</v>
      </c>
      <c r="AC13" s="22">
        <v>5</v>
      </c>
      <c r="AD13" s="22">
        <v>100</v>
      </c>
      <c r="AE13" s="22">
        <v>35</v>
      </c>
      <c r="AF13" s="22">
        <v>100</v>
      </c>
      <c r="AG13" s="22">
        <v>35</v>
      </c>
      <c r="AH13" s="22">
        <f t="shared" ref="AH13:AH49" si="11">calcularConcepto(SUM(AA13,AB13,AC13,AE13,AG13))</f>
        <v>5</v>
      </c>
      <c r="AI13" s="22">
        <v>5</v>
      </c>
      <c r="AJ13" s="22">
        <f t="shared" ref="AJ13:AJ49" si="12">SUM(AA13,AB13,AC13,AE13,AG13,AH13,AI13)</f>
        <v>100</v>
      </c>
      <c r="AK13" s="22">
        <f t="shared" si="3"/>
        <v>40</v>
      </c>
      <c r="AL13" s="28" t="str">
        <f t="shared" ref="AL13:AL49" si="13">copyValue(Z13)</f>
        <v/>
      </c>
      <c r="AM13" s="22">
        <f t="shared" ref="AM13:AM49" si="14">SUM(AK13,Y13,M13)</f>
        <v>100</v>
      </c>
      <c r="AN13" s="22" t="str">
        <f t="shared" ref="AN13:AN49" si="15">IF(AM13 &gt;=70,"Aprobado","Reprobado")</f>
        <v>Aprobado</v>
      </c>
      <c r="AS13" s="34"/>
    </row>
    <row r="14" spans="1:47" ht="15" customHeight="1" x14ac:dyDescent="0.2">
      <c r="A14" s="19">
        <v>3</v>
      </c>
      <c r="B14" s="21"/>
      <c r="C14" s="22">
        <v>10</v>
      </c>
      <c r="D14" s="22">
        <v>5</v>
      </c>
      <c r="E14" s="22">
        <v>5</v>
      </c>
      <c r="F14" s="22">
        <v>100</v>
      </c>
      <c r="G14" s="22">
        <v>35</v>
      </c>
      <c r="H14" s="22">
        <v>100</v>
      </c>
      <c r="I14" s="22">
        <v>35</v>
      </c>
      <c r="J14" s="22">
        <f t="shared" si="6"/>
        <v>5</v>
      </c>
      <c r="K14" s="22">
        <v>5</v>
      </c>
      <c r="L14" s="22">
        <f t="shared" si="7"/>
        <v>100</v>
      </c>
      <c r="M14" s="22">
        <f t="shared" si="0"/>
        <v>30</v>
      </c>
      <c r="N14" s="28" t="str">
        <f t="shared" si="1"/>
        <v/>
      </c>
      <c r="O14" s="22">
        <v>10</v>
      </c>
      <c r="P14" s="22">
        <v>5</v>
      </c>
      <c r="Q14" s="22">
        <v>5</v>
      </c>
      <c r="R14" s="22">
        <v>100</v>
      </c>
      <c r="S14" s="22">
        <v>35</v>
      </c>
      <c r="T14" s="22">
        <v>100</v>
      </c>
      <c r="U14" s="22">
        <v>35</v>
      </c>
      <c r="V14" s="22">
        <f t="shared" si="8"/>
        <v>5</v>
      </c>
      <c r="W14" s="22">
        <v>5</v>
      </c>
      <c r="X14" s="22">
        <f t="shared" si="9"/>
        <v>100</v>
      </c>
      <c r="Y14" s="22">
        <f t="shared" si="2"/>
        <v>30</v>
      </c>
      <c r="Z14" s="28" t="str">
        <f t="shared" si="10"/>
        <v/>
      </c>
      <c r="AA14" s="22">
        <v>10</v>
      </c>
      <c r="AB14" s="22">
        <v>5</v>
      </c>
      <c r="AC14" s="22">
        <v>5</v>
      </c>
      <c r="AD14" s="22">
        <v>100</v>
      </c>
      <c r="AE14" s="22">
        <v>35</v>
      </c>
      <c r="AF14" s="22">
        <v>100</v>
      </c>
      <c r="AG14" s="22">
        <v>35</v>
      </c>
      <c r="AH14" s="22">
        <f t="shared" si="11"/>
        <v>5</v>
      </c>
      <c r="AI14" s="22">
        <v>5</v>
      </c>
      <c r="AJ14" s="22">
        <f t="shared" si="12"/>
        <v>100</v>
      </c>
      <c r="AK14" s="22">
        <f t="shared" si="3"/>
        <v>40</v>
      </c>
      <c r="AL14" s="28" t="str">
        <f t="shared" si="13"/>
        <v/>
      </c>
      <c r="AM14" s="22">
        <f t="shared" si="14"/>
        <v>100</v>
      </c>
      <c r="AN14" s="22" t="str">
        <f t="shared" si="15"/>
        <v>Aprobado</v>
      </c>
      <c r="AS14" s="34" t="str">
        <f t="shared" ref="AS13:AS50" si="16">copyValue(B13)</f>
        <v/>
      </c>
    </row>
    <row r="15" spans="1:47" ht="15" customHeight="1" x14ac:dyDescent="0.2">
      <c r="A15" s="19">
        <v>4</v>
      </c>
      <c r="B15" s="21"/>
      <c r="C15" s="22">
        <v>10</v>
      </c>
      <c r="D15" s="22">
        <v>5</v>
      </c>
      <c r="E15" s="22">
        <v>5</v>
      </c>
      <c r="F15" s="22">
        <v>100</v>
      </c>
      <c r="G15" s="22">
        <v>35</v>
      </c>
      <c r="H15" s="22">
        <v>100</v>
      </c>
      <c r="I15" s="22">
        <v>35</v>
      </c>
      <c r="J15" s="22">
        <f t="shared" si="6"/>
        <v>5</v>
      </c>
      <c r="K15" s="22">
        <v>5</v>
      </c>
      <c r="L15" s="22">
        <f t="shared" si="7"/>
        <v>100</v>
      </c>
      <c r="M15" s="22">
        <f t="shared" si="0"/>
        <v>30</v>
      </c>
      <c r="N15" s="28" t="str">
        <f t="shared" si="1"/>
        <v/>
      </c>
      <c r="O15" s="22">
        <v>10</v>
      </c>
      <c r="P15" s="22">
        <v>5</v>
      </c>
      <c r="Q15" s="22">
        <v>5</v>
      </c>
      <c r="R15" s="22">
        <v>100</v>
      </c>
      <c r="S15" s="22">
        <v>35</v>
      </c>
      <c r="T15" s="22">
        <v>100</v>
      </c>
      <c r="U15" s="22">
        <v>35</v>
      </c>
      <c r="V15" s="22">
        <f t="shared" si="8"/>
        <v>5</v>
      </c>
      <c r="W15" s="22">
        <v>5</v>
      </c>
      <c r="X15" s="22">
        <f t="shared" si="9"/>
        <v>100</v>
      </c>
      <c r="Y15" s="22">
        <f t="shared" si="2"/>
        <v>30</v>
      </c>
      <c r="Z15" s="28" t="str">
        <f t="shared" si="10"/>
        <v/>
      </c>
      <c r="AA15" s="22">
        <v>10</v>
      </c>
      <c r="AB15" s="22">
        <v>5</v>
      </c>
      <c r="AC15" s="22">
        <v>5</v>
      </c>
      <c r="AD15" s="22">
        <v>100</v>
      </c>
      <c r="AE15" s="22">
        <v>35</v>
      </c>
      <c r="AF15" s="22">
        <v>100</v>
      </c>
      <c r="AG15" s="22">
        <v>35</v>
      </c>
      <c r="AH15" s="22">
        <f t="shared" si="11"/>
        <v>5</v>
      </c>
      <c r="AI15" s="22">
        <v>5</v>
      </c>
      <c r="AJ15" s="22">
        <f t="shared" si="12"/>
        <v>100</v>
      </c>
      <c r="AK15" s="22">
        <f t="shared" si="3"/>
        <v>40</v>
      </c>
      <c r="AL15" s="28" t="str">
        <f t="shared" si="13"/>
        <v/>
      </c>
      <c r="AM15" s="22">
        <f t="shared" si="14"/>
        <v>100</v>
      </c>
      <c r="AN15" s="22" t="str">
        <f t="shared" si="15"/>
        <v>Aprobado</v>
      </c>
      <c r="AS15" s="34" t="str">
        <f t="shared" si="16"/>
        <v/>
      </c>
    </row>
    <row r="16" spans="1:47" ht="15" customHeight="1" x14ac:dyDescent="0.2">
      <c r="A16" s="19">
        <v>5</v>
      </c>
      <c r="B16" s="21"/>
      <c r="C16" s="22">
        <v>10</v>
      </c>
      <c r="D16" s="22">
        <v>5</v>
      </c>
      <c r="E16" s="22">
        <v>5</v>
      </c>
      <c r="F16" s="22">
        <v>100</v>
      </c>
      <c r="G16" s="22">
        <v>35</v>
      </c>
      <c r="H16" s="22">
        <v>100</v>
      </c>
      <c r="I16" s="22">
        <v>35</v>
      </c>
      <c r="J16" s="22">
        <f t="shared" si="6"/>
        <v>5</v>
      </c>
      <c r="K16" s="22">
        <v>5</v>
      </c>
      <c r="L16" s="22">
        <f t="shared" si="7"/>
        <v>100</v>
      </c>
      <c r="M16" s="22">
        <f t="shared" si="0"/>
        <v>30</v>
      </c>
      <c r="N16" s="28" t="str">
        <f t="shared" si="1"/>
        <v/>
      </c>
      <c r="O16" s="22">
        <v>10</v>
      </c>
      <c r="P16" s="22">
        <v>5</v>
      </c>
      <c r="Q16" s="22">
        <v>5</v>
      </c>
      <c r="R16" s="22">
        <v>100</v>
      </c>
      <c r="S16" s="22">
        <v>35</v>
      </c>
      <c r="T16" s="22">
        <v>100</v>
      </c>
      <c r="U16" s="22">
        <v>35</v>
      </c>
      <c r="V16" s="22">
        <f t="shared" si="8"/>
        <v>5</v>
      </c>
      <c r="W16" s="22">
        <v>5</v>
      </c>
      <c r="X16" s="22">
        <f t="shared" si="9"/>
        <v>100</v>
      </c>
      <c r="Y16" s="22">
        <f t="shared" si="2"/>
        <v>30</v>
      </c>
      <c r="Z16" s="28" t="str">
        <f t="shared" si="10"/>
        <v/>
      </c>
      <c r="AA16" s="22">
        <v>10</v>
      </c>
      <c r="AB16" s="22">
        <v>5</v>
      </c>
      <c r="AC16" s="22">
        <v>5</v>
      </c>
      <c r="AD16" s="22">
        <v>100</v>
      </c>
      <c r="AE16" s="22">
        <v>35</v>
      </c>
      <c r="AF16" s="22">
        <v>100</v>
      </c>
      <c r="AG16" s="22">
        <v>35</v>
      </c>
      <c r="AH16" s="22">
        <f t="shared" si="11"/>
        <v>5</v>
      </c>
      <c r="AI16" s="22">
        <v>5</v>
      </c>
      <c r="AJ16" s="22">
        <f t="shared" si="12"/>
        <v>100</v>
      </c>
      <c r="AK16" s="22">
        <f t="shared" si="3"/>
        <v>40</v>
      </c>
      <c r="AL16" s="28" t="str">
        <f t="shared" si="13"/>
        <v/>
      </c>
      <c r="AM16" s="22">
        <f t="shared" si="14"/>
        <v>100</v>
      </c>
      <c r="AN16" s="22" t="str">
        <f t="shared" si="15"/>
        <v>Aprobado</v>
      </c>
      <c r="AS16" s="34" t="str">
        <f t="shared" si="16"/>
        <v/>
      </c>
    </row>
    <row r="17" spans="1:45" ht="15" customHeight="1" x14ac:dyDescent="0.2">
      <c r="A17" s="19">
        <v>6</v>
      </c>
      <c r="B17" s="21"/>
      <c r="C17" s="22">
        <v>10</v>
      </c>
      <c r="D17" s="22">
        <v>5</v>
      </c>
      <c r="E17" s="22">
        <v>5</v>
      </c>
      <c r="F17" s="22">
        <v>100</v>
      </c>
      <c r="G17" s="22">
        <v>35</v>
      </c>
      <c r="H17" s="22">
        <v>100</v>
      </c>
      <c r="I17" s="22">
        <v>35</v>
      </c>
      <c r="J17" s="22">
        <f t="shared" si="6"/>
        <v>5</v>
      </c>
      <c r="K17" s="22">
        <v>5</v>
      </c>
      <c r="L17" s="22">
        <f t="shared" si="7"/>
        <v>100</v>
      </c>
      <c r="M17" s="22">
        <f t="shared" si="0"/>
        <v>30</v>
      </c>
      <c r="N17" s="28" t="str">
        <f t="shared" si="1"/>
        <v/>
      </c>
      <c r="O17" s="22">
        <v>10</v>
      </c>
      <c r="P17" s="22">
        <v>5</v>
      </c>
      <c r="Q17" s="22">
        <v>5</v>
      </c>
      <c r="R17" s="22">
        <v>100</v>
      </c>
      <c r="S17" s="22">
        <v>35</v>
      </c>
      <c r="T17" s="22">
        <v>100</v>
      </c>
      <c r="U17" s="22">
        <v>35</v>
      </c>
      <c r="V17" s="22">
        <f t="shared" si="8"/>
        <v>5</v>
      </c>
      <c r="W17" s="22">
        <v>5</v>
      </c>
      <c r="X17" s="22">
        <f t="shared" si="9"/>
        <v>100</v>
      </c>
      <c r="Y17" s="22">
        <f t="shared" si="2"/>
        <v>30</v>
      </c>
      <c r="Z17" s="28" t="str">
        <f t="shared" si="10"/>
        <v/>
      </c>
      <c r="AA17" s="22">
        <v>10</v>
      </c>
      <c r="AB17" s="22">
        <v>5</v>
      </c>
      <c r="AC17" s="22">
        <v>5</v>
      </c>
      <c r="AD17" s="22">
        <v>100</v>
      </c>
      <c r="AE17" s="22">
        <v>35</v>
      </c>
      <c r="AF17" s="22">
        <v>100</v>
      </c>
      <c r="AG17" s="22">
        <v>35</v>
      </c>
      <c r="AH17" s="22">
        <f t="shared" si="11"/>
        <v>5</v>
      </c>
      <c r="AI17" s="22">
        <v>5</v>
      </c>
      <c r="AJ17" s="22">
        <f t="shared" si="12"/>
        <v>100</v>
      </c>
      <c r="AK17" s="22">
        <f t="shared" si="3"/>
        <v>40</v>
      </c>
      <c r="AL17" s="28" t="str">
        <f t="shared" si="13"/>
        <v/>
      </c>
      <c r="AM17" s="22">
        <f t="shared" si="14"/>
        <v>100</v>
      </c>
      <c r="AN17" s="22" t="str">
        <f t="shared" si="15"/>
        <v>Aprobado</v>
      </c>
      <c r="AS17" s="34" t="str">
        <f t="shared" si="16"/>
        <v/>
      </c>
    </row>
    <row r="18" spans="1:45" ht="15" customHeight="1" x14ac:dyDescent="0.2">
      <c r="A18" s="19">
        <v>7</v>
      </c>
      <c r="B18" s="21"/>
      <c r="C18" s="22">
        <v>10</v>
      </c>
      <c r="D18" s="22">
        <v>5</v>
      </c>
      <c r="E18" s="22">
        <v>5</v>
      </c>
      <c r="F18" s="22">
        <v>100</v>
      </c>
      <c r="G18" s="22">
        <v>35</v>
      </c>
      <c r="H18" s="22">
        <v>100</v>
      </c>
      <c r="I18" s="22">
        <v>35</v>
      </c>
      <c r="J18" s="22">
        <f t="shared" si="6"/>
        <v>5</v>
      </c>
      <c r="K18" s="22">
        <v>5</v>
      </c>
      <c r="L18" s="22">
        <f t="shared" si="7"/>
        <v>100</v>
      </c>
      <c r="M18" s="22">
        <f t="shared" si="0"/>
        <v>30</v>
      </c>
      <c r="N18" s="28" t="str">
        <f t="shared" si="1"/>
        <v/>
      </c>
      <c r="O18" s="22">
        <v>10</v>
      </c>
      <c r="P18" s="22">
        <v>5</v>
      </c>
      <c r="Q18" s="22">
        <v>5</v>
      </c>
      <c r="R18" s="22">
        <v>100</v>
      </c>
      <c r="S18" s="22">
        <v>35</v>
      </c>
      <c r="T18" s="22">
        <v>100</v>
      </c>
      <c r="U18" s="22">
        <v>35</v>
      </c>
      <c r="V18" s="22">
        <f t="shared" si="8"/>
        <v>5</v>
      </c>
      <c r="W18" s="22">
        <v>5</v>
      </c>
      <c r="X18" s="22">
        <f t="shared" si="9"/>
        <v>100</v>
      </c>
      <c r="Y18" s="22">
        <f t="shared" si="2"/>
        <v>30</v>
      </c>
      <c r="Z18" s="28" t="str">
        <f t="shared" si="10"/>
        <v/>
      </c>
      <c r="AA18" s="22">
        <v>10</v>
      </c>
      <c r="AB18" s="22">
        <v>5</v>
      </c>
      <c r="AC18" s="22">
        <v>5</v>
      </c>
      <c r="AD18" s="22">
        <v>100</v>
      </c>
      <c r="AE18" s="22">
        <v>35</v>
      </c>
      <c r="AF18" s="22">
        <v>100</v>
      </c>
      <c r="AG18" s="22">
        <v>35</v>
      </c>
      <c r="AH18" s="22">
        <f t="shared" si="11"/>
        <v>5</v>
      </c>
      <c r="AI18" s="22">
        <v>5</v>
      </c>
      <c r="AJ18" s="22">
        <f t="shared" si="12"/>
        <v>100</v>
      </c>
      <c r="AK18" s="22">
        <f t="shared" si="3"/>
        <v>40</v>
      </c>
      <c r="AL18" s="28" t="str">
        <f t="shared" si="13"/>
        <v/>
      </c>
      <c r="AM18" s="22">
        <f t="shared" si="14"/>
        <v>100</v>
      </c>
      <c r="AN18" s="22" t="str">
        <f t="shared" si="15"/>
        <v>Aprobado</v>
      </c>
      <c r="AS18" s="34" t="str">
        <f t="shared" si="16"/>
        <v/>
      </c>
    </row>
    <row r="19" spans="1:45" ht="15" customHeight="1" x14ac:dyDescent="0.2">
      <c r="A19" s="19">
        <v>8</v>
      </c>
      <c r="B19" s="21"/>
      <c r="C19" s="22">
        <v>10</v>
      </c>
      <c r="D19" s="22">
        <v>5</v>
      </c>
      <c r="E19" s="22">
        <v>5</v>
      </c>
      <c r="F19" s="22">
        <v>100</v>
      </c>
      <c r="G19" s="22">
        <v>35</v>
      </c>
      <c r="H19" s="22">
        <v>100</v>
      </c>
      <c r="I19" s="22">
        <v>35</v>
      </c>
      <c r="J19" s="22">
        <f t="shared" si="6"/>
        <v>5</v>
      </c>
      <c r="K19" s="22">
        <v>5</v>
      </c>
      <c r="L19" s="22">
        <f t="shared" si="7"/>
        <v>100</v>
      </c>
      <c r="M19" s="22">
        <f t="shared" si="0"/>
        <v>30</v>
      </c>
      <c r="N19" s="28" t="str">
        <f t="shared" si="1"/>
        <v/>
      </c>
      <c r="O19" s="22">
        <v>10</v>
      </c>
      <c r="P19" s="22">
        <v>5</v>
      </c>
      <c r="Q19" s="22">
        <v>5</v>
      </c>
      <c r="R19" s="22">
        <v>100</v>
      </c>
      <c r="S19" s="22">
        <v>35</v>
      </c>
      <c r="T19" s="22">
        <v>100</v>
      </c>
      <c r="U19" s="22">
        <v>35</v>
      </c>
      <c r="V19" s="22">
        <f t="shared" si="8"/>
        <v>5</v>
      </c>
      <c r="W19" s="22">
        <v>5</v>
      </c>
      <c r="X19" s="22">
        <f t="shared" si="9"/>
        <v>100</v>
      </c>
      <c r="Y19" s="22">
        <f t="shared" si="2"/>
        <v>30</v>
      </c>
      <c r="Z19" s="28" t="str">
        <f t="shared" si="10"/>
        <v/>
      </c>
      <c r="AA19" s="22">
        <v>10</v>
      </c>
      <c r="AB19" s="22">
        <v>5</v>
      </c>
      <c r="AC19" s="22">
        <v>5</v>
      </c>
      <c r="AD19" s="22">
        <v>100</v>
      </c>
      <c r="AE19" s="22">
        <v>35</v>
      </c>
      <c r="AF19" s="22">
        <v>100</v>
      </c>
      <c r="AG19" s="22">
        <v>35</v>
      </c>
      <c r="AH19" s="22">
        <f t="shared" si="11"/>
        <v>5</v>
      </c>
      <c r="AI19" s="22">
        <v>5</v>
      </c>
      <c r="AJ19" s="22">
        <f t="shared" si="12"/>
        <v>100</v>
      </c>
      <c r="AK19" s="22">
        <f t="shared" si="3"/>
        <v>40</v>
      </c>
      <c r="AL19" s="28" t="str">
        <f t="shared" si="13"/>
        <v/>
      </c>
      <c r="AM19" s="22">
        <f t="shared" si="14"/>
        <v>100</v>
      </c>
      <c r="AN19" s="22" t="str">
        <f t="shared" si="15"/>
        <v>Aprobado</v>
      </c>
      <c r="AS19" s="34" t="str">
        <f t="shared" si="16"/>
        <v/>
      </c>
    </row>
    <row r="20" spans="1:45" ht="15" customHeight="1" x14ac:dyDescent="0.2">
      <c r="A20" s="19">
        <v>9</v>
      </c>
      <c r="B20" s="21"/>
      <c r="C20" s="22">
        <v>10</v>
      </c>
      <c r="D20" s="22">
        <v>5</v>
      </c>
      <c r="E20" s="22">
        <v>5</v>
      </c>
      <c r="F20" s="22">
        <v>100</v>
      </c>
      <c r="G20" s="22">
        <v>35</v>
      </c>
      <c r="H20" s="22">
        <v>100</v>
      </c>
      <c r="I20" s="22">
        <v>35</v>
      </c>
      <c r="J20" s="22">
        <f t="shared" si="6"/>
        <v>5</v>
      </c>
      <c r="K20" s="22">
        <v>5</v>
      </c>
      <c r="L20" s="22">
        <f t="shared" si="7"/>
        <v>100</v>
      </c>
      <c r="M20" s="22">
        <f t="shared" si="0"/>
        <v>30</v>
      </c>
      <c r="N20" s="28" t="str">
        <f t="shared" si="1"/>
        <v/>
      </c>
      <c r="O20" s="22">
        <v>10</v>
      </c>
      <c r="P20" s="22">
        <v>5</v>
      </c>
      <c r="Q20" s="22">
        <v>5</v>
      </c>
      <c r="R20" s="22">
        <v>100</v>
      </c>
      <c r="S20" s="22">
        <v>35</v>
      </c>
      <c r="T20" s="22">
        <v>100</v>
      </c>
      <c r="U20" s="22">
        <v>35</v>
      </c>
      <c r="V20" s="22">
        <f t="shared" si="8"/>
        <v>5</v>
      </c>
      <c r="W20" s="22">
        <v>5</v>
      </c>
      <c r="X20" s="22">
        <f t="shared" si="9"/>
        <v>100</v>
      </c>
      <c r="Y20" s="22">
        <f t="shared" si="2"/>
        <v>30</v>
      </c>
      <c r="Z20" s="28" t="str">
        <f t="shared" si="10"/>
        <v/>
      </c>
      <c r="AA20" s="22">
        <v>10</v>
      </c>
      <c r="AB20" s="22">
        <v>5</v>
      </c>
      <c r="AC20" s="22">
        <v>5</v>
      </c>
      <c r="AD20" s="22">
        <v>100</v>
      </c>
      <c r="AE20" s="22">
        <v>35</v>
      </c>
      <c r="AF20" s="22">
        <v>100</v>
      </c>
      <c r="AG20" s="22">
        <v>35</v>
      </c>
      <c r="AH20" s="22">
        <f t="shared" si="11"/>
        <v>5</v>
      </c>
      <c r="AI20" s="22">
        <v>5</v>
      </c>
      <c r="AJ20" s="22">
        <f t="shared" si="12"/>
        <v>100</v>
      </c>
      <c r="AK20" s="22">
        <f t="shared" si="3"/>
        <v>40</v>
      </c>
      <c r="AL20" s="28" t="str">
        <f t="shared" si="13"/>
        <v/>
      </c>
      <c r="AM20" s="22">
        <f t="shared" si="14"/>
        <v>100</v>
      </c>
      <c r="AN20" s="22" t="str">
        <f t="shared" si="15"/>
        <v>Aprobado</v>
      </c>
      <c r="AS20" s="34" t="str">
        <f t="shared" si="16"/>
        <v/>
      </c>
    </row>
    <row r="21" spans="1:45" ht="15" customHeight="1" x14ac:dyDescent="0.2">
      <c r="A21" s="19">
        <v>10</v>
      </c>
      <c r="B21" s="21"/>
      <c r="C21" s="22">
        <v>10</v>
      </c>
      <c r="D21" s="22">
        <v>5</v>
      </c>
      <c r="E21" s="22">
        <v>5</v>
      </c>
      <c r="F21" s="22">
        <v>100</v>
      </c>
      <c r="G21" s="22">
        <v>35</v>
      </c>
      <c r="H21" s="22">
        <v>100</v>
      </c>
      <c r="I21" s="22">
        <v>35</v>
      </c>
      <c r="J21" s="22">
        <f t="shared" si="6"/>
        <v>5</v>
      </c>
      <c r="K21" s="22">
        <v>5</v>
      </c>
      <c r="L21" s="22">
        <f t="shared" si="7"/>
        <v>100</v>
      </c>
      <c r="M21" s="22">
        <f t="shared" si="0"/>
        <v>30</v>
      </c>
      <c r="N21" s="28" t="str">
        <f t="shared" si="1"/>
        <v/>
      </c>
      <c r="O21" s="22">
        <v>10</v>
      </c>
      <c r="P21" s="22">
        <v>5</v>
      </c>
      <c r="Q21" s="22">
        <v>5</v>
      </c>
      <c r="R21" s="22">
        <v>100</v>
      </c>
      <c r="S21" s="22">
        <v>35</v>
      </c>
      <c r="T21" s="22">
        <v>100</v>
      </c>
      <c r="U21" s="22">
        <v>35</v>
      </c>
      <c r="V21" s="22">
        <f t="shared" si="8"/>
        <v>5</v>
      </c>
      <c r="W21" s="22">
        <v>5</v>
      </c>
      <c r="X21" s="22">
        <f t="shared" si="9"/>
        <v>100</v>
      </c>
      <c r="Y21" s="22">
        <f t="shared" si="2"/>
        <v>30</v>
      </c>
      <c r="Z21" s="28" t="str">
        <f t="shared" si="10"/>
        <v/>
      </c>
      <c r="AA21" s="22">
        <v>10</v>
      </c>
      <c r="AB21" s="22">
        <v>5</v>
      </c>
      <c r="AC21" s="22">
        <v>5</v>
      </c>
      <c r="AD21" s="22">
        <v>100</v>
      </c>
      <c r="AE21" s="22">
        <v>35</v>
      </c>
      <c r="AF21" s="22">
        <v>100</v>
      </c>
      <c r="AG21" s="22">
        <v>35</v>
      </c>
      <c r="AH21" s="22">
        <f t="shared" si="11"/>
        <v>5</v>
      </c>
      <c r="AI21" s="22">
        <v>5</v>
      </c>
      <c r="AJ21" s="22">
        <f t="shared" si="12"/>
        <v>100</v>
      </c>
      <c r="AK21" s="22">
        <f t="shared" si="3"/>
        <v>40</v>
      </c>
      <c r="AL21" s="28" t="str">
        <f t="shared" si="13"/>
        <v/>
      </c>
      <c r="AM21" s="22">
        <f t="shared" si="14"/>
        <v>100</v>
      </c>
      <c r="AN21" s="22" t="str">
        <f t="shared" si="15"/>
        <v>Aprobado</v>
      </c>
      <c r="AS21" s="34" t="str">
        <f t="shared" si="16"/>
        <v/>
      </c>
    </row>
    <row r="22" spans="1:45" ht="15" customHeight="1" x14ac:dyDescent="0.2">
      <c r="A22" s="19">
        <v>11</v>
      </c>
      <c r="B22" s="21"/>
      <c r="C22" s="22">
        <v>10</v>
      </c>
      <c r="D22" s="22">
        <v>5</v>
      </c>
      <c r="E22" s="22">
        <v>5</v>
      </c>
      <c r="F22" s="22">
        <v>100</v>
      </c>
      <c r="G22" s="22">
        <v>35</v>
      </c>
      <c r="H22" s="22">
        <v>100</v>
      </c>
      <c r="I22" s="22">
        <v>35</v>
      </c>
      <c r="J22" s="22">
        <f t="shared" si="6"/>
        <v>5</v>
      </c>
      <c r="K22" s="22">
        <v>5</v>
      </c>
      <c r="L22" s="22">
        <f t="shared" si="7"/>
        <v>100</v>
      </c>
      <c r="M22" s="22">
        <f t="shared" si="0"/>
        <v>30</v>
      </c>
      <c r="N22" s="28" t="str">
        <f t="shared" si="1"/>
        <v/>
      </c>
      <c r="O22" s="22">
        <v>10</v>
      </c>
      <c r="P22" s="22">
        <v>5</v>
      </c>
      <c r="Q22" s="22">
        <v>5</v>
      </c>
      <c r="R22" s="22">
        <v>100</v>
      </c>
      <c r="S22" s="22">
        <v>35</v>
      </c>
      <c r="T22" s="22">
        <v>100</v>
      </c>
      <c r="U22" s="22">
        <v>35</v>
      </c>
      <c r="V22" s="22">
        <f t="shared" si="8"/>
        <v>5</v>
      </c>
      <c r="W22" s="22">
        <v>5</v>
      </c>
      <c r="X22" s="22">
        <f t="shared" si="9"/>
        <v>100</v>
      </c>
      <c r="Y22" s="22">
        <f t="shared" si="2"/>
        <v>30</v>
      </c>
      <c r="Z22" s="28" t="str">
        <f t="shared" si="10"/>
        <v/>
      </c>
      <c r="AA22" s="22">
        <v>10</v>
      </c>
      <c r="AB22" s="22">
        <v>5</v>
      </c>
      <c r="AC22" s="22">
        <v>5</v>
      </c>
      <c r="AD22" s="22">
        <v>100</v>
      </c>
      <c r="AE22" s="22">
        <v>35</v>
      </c>
      <c r="AF22" s="22">
        <v>100</v>
      </c>
      <c r="AG22" s="22">
        <v>35</v>
      </c>
      <c r="AH22" s="22">
        <f t="shared" si="11"/>
        <v>5</v>
      </c>
      <c r="AI22" s="22">
        <v>5</v>
      </c>
      <c r="AJ22" s="22">
        <f t="shared" si="12"/>
        <v>100</v>
      </c>
      <c r="AK22" s="22">
        <f t="shared" si="3"/>
        <v>40</v>
      </c>
      <c r="AL22" s="28" t="str">
        <f t="shared" si="13"/>
        <v/>
      </c>
      <c r="AM22" s="22">
        <f t="shared" si="14"/>
        <v>100</v>
      </c>
      <c r="AN22" s="22" t="str">
        <f t="shared" si="15"/>
        <v>Aprobado</v>
      </c>
      <c r="AS22" s="34" t="str">
        <f t="shared" si="16"/>
        <v/>
      </c>
    </row>
    <row r="23" spans="1:45" ht="15" customHeight="1" x14ac:dyDescent="0.2">
      <c r="A23" s="19">
        <v>12</v>
      </c>
      <c r="B23" s="21"/>
      <c r="C23" s="22">
        <v>10</v>
      </c>
      <c r="D23" s="22">
        <v>5</v>
      </c>
      <c r="E23" s="22">
        <v>5</v>
      </c>
      <c r="F23" s="22">
        <v>100</v>
      </c>
      <c r="G23" s="22">
        <v>35</v>
      </c>
      <c r="H23" s="22">
        <v>100</v>
      </c>
      <c r="I23" s="22">
        <v>35</v>
      </c>
      <c r="J23" s="22">
        <f t="shared" si="6"/>
        <v>5</v>
      </c>
      <c r="K23" s="22">
        <v>5</v>
      </c>
      <c r="L23" s="22">
        <f t="shared" si="7"/>
        <v>100</v>
      </c>
      <c r="M23" s="22">
        <f t="shared" si="0"/>
        <v>30</v>
      </c>
      <c r="N23" s="28" t="str">
        <f t="shared" si="1"/>
        <v/>
      </c>
      <c r="O23" s="22">
        <v>10</v>
      </c>
      <c r="P23" s="22">
        <v>5</v>
      </c>
      <c r="Q23" s="22">
        <v>5</v>
      </c>
      <c r="R23" s="22">
        <v>100</v>
      </c>
      <c r="S23" s="22">
        <v>35</v>
      </c>
      <c r="T23" s="22">
        <v>100</v>
      </c>
      <c r="U23" s="22">
        <v>35</v>
      </c>
      <c r="V23" s="22">
        <f t="shared" si="8"/>
        <v>5</v>
      </c>
      <c r="W23" s="22">
        <v>5</v>
      </c>
      <c r="X23" s="22">
        <f t="shared" si="9"/>
        <v>100</v>
      </c>
      <c r="Y23" s="22">
        <f t="shared" si="2"/>
        <v>30</v>
      </c>
      <c r="Z23" s="28" t="str">
        <f t="shared" si="10"/>
        <v/>
      </c>
      <c r="AA23" s="22">
        <v>10</v>
      </c>
      <c r="AB23" s="22">
        <v>5</v>
      </c>
      <c r="AC23" s="22">
        <v>5</v>
      </c>
      <c r="AD23" s="22">
        <v>100</v>
      </c>
      <c r="AE23" s="22">
        <v>35</v>
      </c>
      <c r="AF23" s="22">
        <v>100</v>
      </c>
      <c r="AG23" s="22">
        <v>35</v>
      </c>
      <c r="AH23" s="22">
        <f t="shared" si="11"/>
        <v>5</v>
      </c>
      <c r="AI23" s="22">
        <v>5</v>
      </c>
      <c r="AJ23" s="22">
        <f t="shared" si="12"/>
        <v>100</v>
      </c>
      <c r="AK23" s="22">
        <f t="shared" si="3"/>
        <v>40</v>
      </c>
      <c r="AL23" s="28" t="str">
        <f t="shared" si="13"/>
        <v/>
      </c>
      <c r="AM23" s="22">
        <f t="shared" si="14"/>
        <v>100</v>
      </c>
      <c r="AN23" s="22" t="str">
        <f t="shared" si="15"/>
        <v>Aprobado</v>
      </c>
      <c r="AS23" s="34" t="str">
        <f t="shared" si="16"/>
        <v/>
      </c>
    </row>
    <row r="24" spans="1:45" ht="15" customHeight="1" x14ac:dyDescent="0.2">
      <c r="A24" s="19">
        <v>13</v>
      </c>
      <c r="B24" s="21"/>
      <c r="C24" s="22">
        <v>10</v>
      </c>
      <c r="D24" s="22">
        <v>5</v>
      </c>
      <c r="E24" s="22">
        <v>5</v>
      </c>
      <c r="F24" s="22">
        <v>100</v>
      </c>
      <c r="G24" s="22">
        <v>35</v>
      </c>
      <c r="H24" s="22">
        <v>100</v>
      </c>
      <c r="I24" s="22">
        <v>35</v>
      </c>
      <c r="J24" s="22">
        <f t="shared" si="6"/>
        <v>5</v>
      </c>
      <c r="K24" s="22">
        <v>5</v>
      </c>
      <c r="L24" s="22">
        <f t="shared" si="7"/>
        <v>100</v>
      </c>
      <c r="M24" s="22">
        <f t="shared" si="0"/>
        <v>30</v>
      </c>
      <c r="N24" s="28" t="str">
        <f t="shared" si="1"/>
        <v/>
      </c>
      <c r="O24" s="22">
        <v>10</v>
      </c>
      <c r="P24" s="22">
        <v>5</v>
      </c>
      <c r="Q24" s="22">
        <v>5</v>
      </c>
      <c r="R24" s="22">
        <v>100</v>
      </c>
      <c r="S24" s="22">
        <v>35</v>
      </c>
      <c r="T24" s="22">
        <v>100</v>
      </c>
      <c r="U24" s="22">
        <v>35</v>
      </c>
      <c r="V24" s="22">
        <f t="shared" si="8"/>
        <v>5</v>
      </c>
      <c r="W24" s="22">
        <v>5</v>
      </c>
      <c r="X24" s="22">
        <f t="shared" si="9"/>
        <v>100</v>
      </c>
      <c r="Y24" s="22">
        <f t="shared" si="2"/>
        <v>30</v>
      </c>
      <c r="Z24" s="28" t="str">
        <f t="shared" si="10"/>
        <v/>
      </c>
      <c r="AA24" s="22">
        <v>10</v>
      </c>
      <c r="AB24" s="22">
        <v>5</v>
      </c>
      <c r="AC24" s="22">
        <v>5</v>
      </c>
      <c r="AD24" s="22">
        <v>100</v>
      </c>
      <c r="AE24" s="22">
        <v>35</v>
      </c>
      <c r="AF24" s="22">
        <v>100</v>
      </c>
      <c r="AG24" s="22">
        <v>35</v>
      </c>
      <c r="AH24" s="22">
        <f t="shared" si="11"/>
        <v>5</v>
      </c>
      <c r="AI24" s="22">
        <v>5</v>
      </c>
      <c r="AJ24" s="22">
        <f t="shared" si="12"/>
        <v>100</v>
      </c>
      <c r="AK24" s="22">
        <f t="shared" si="3"/>
        <v>40</v>
      </c>
      <c r="AL24" s="28" t="str">
        <f t="shared" si="13"/>
        <v/>
      </c>
      <c r="AM24" s="22">
        <f t="shared" si="14"/>
        <v>100</v>
      </c>
      <c r="AN24" s="22" t="str">
        <f t="shared" si="15"/>
        <v>Aprobado</v>
      </c>
      <c r="AS24" s="34" t="str">
        <f t="shared" si="16"/>
        <v/>
      </c>
    </row>
    <row r="25" spans="1:45" ht="15" customHeight="1" x14ac:dyDescent="0.2">
      <c r="A25" s="19">
        <v>14</v>
      </c>
      <c r="B25" s="21"/>
      <c r="C25" s="22">
        <v>10</v>
      </c>
      <c r="D25" s="22">
        <v>5</v>
      </c>
      <c r="E25" s="22">
        <v>5</v>
      </c>
      <c r="F25" s="22">
        <v>100</v>
      </c>
      <c r="G25" s="22">
        <v>35</v>
      </c>
      <c r="H25" s="22">
        <v>100</v>
      </c>
      <c r="I25" s="22">
        <v>35</v>
      </c>
      <c r="J25" s="22">
        <f t="shared" si="6"/>
        <v>5</v>
      </c>
      <c r="K25" s="22">
        <v>5</v>
      </c>
      <c r="L25" s="22">
        <f t="shared" si="7"/>
        <v>100</v>
      </c>
      <c r="M25" s="22">
        <f t="shared" si="0"/>
        <v>30</v>
      </c>
      <c r="N25" s="28" t="str">
        <f t="shared" si="1"/>
        <v/>
      </c>
      <c r="O25" s="22">
        <v>10</v>
      </c>
      <c r="P25" s="22">
        <v>5</v>
      </c>
      <c r="Q25" s="22">
        <v>5</v>
      </c>
      <c r="R25" s="22">
        <v>100</v>
      </c>
      <c r="S25" s="22">
        <v>35</v>
      </c>
      <c r="T25" s="22">
        <v>100</v>
      </c>
      <c r="U25" s="22">
        <v>35</v>
      </c>
      <c r="V25" s="22">
        <f t="shared" si="8"/>
        <v>5</v>
      </c>
      <c r="W25" s="22">
        <v>5</v>
      </c>
      <c r="X25" s="22">
        <f t="shared" si="9"/>
        <v>100</v>
      </c>
      <c r="Y25" s="22">
        <f t="shared" si="2"/>
        <v>30</v>
      </c>
      <c r="Z25" s="28" t="str">
        <f t="shared" si="10"/>
        <v/>
      </c>
      <c r="AA25" s="22">
        <v>10</v>
      </c>
      <c r="AB25" s="22">
        <v>5</v>
      </c>
      <c r="AC25" s="22">
        <v>5</v>
      </c>
      <c r="AD25" s="22">
        <v>100</v>
      </c>
      <c r="AE25" s="22">
        <v>35</v>
      </c>
      <c r="AF25" s="22">
        <v>100</v>
      </c>
      <c r="AG25" s="22">
        <v>35</v>
      </c>
      <c r="AH25" s="22">
        <f t="shared" si="11"/>
        <v>5</v>
      </c>
      <c r="AI25" s="22">
        <v>5</v>
      </c>
      <c r="AJ25" s="22">
        <f t="shared" si="12"/>
        <v>100</v>
      </c>
      <c r="AK25" s="22">
        <f t="shared" si="3"/>
        <v>40</v>
      </c>
      <c r="AL25" s="28" t="str">
        <f t="shared" si="13"/>
        <v/>
      </c>
      <c r="AM25" s="22">
        <f t="shared" si="14"/>
        <v>100</v>
      </c>
      <c r="AN25" s="22" t="str">
        <f t="shared" si="15"/>
        <v>Aprobado</v>
      </c>
      <c r="AS25" s="34" t="str">
        <f t="shared" si="16"/>
        <v/>
      </c>
    </row>
    <row r="26" spans="1:45" ht="15" customHeight="1" x14ac:dyDescent="0.2">
      <c r="A26" s="19">
        <v>15</v>
      </c>
      <c r="B26" s="21"/>
      <c r="C26" s="22">
        <v>10</v>
      </c>
      <c r="D26" s="22">
        <v>5</v>
      </c>
      <c r="E26" s="22">
        <v>5</v>
      </c>
      <c r="F26" s="22">
        <v>100</v>
      </c>
      <c r="G26" s="22">
        <v>35</v>
      </c>
      <c r="H26" s="22">
        <v>100</v>
      </c>
      <c r="I26" s="22">
        <v>35</v>
      </c>
      <c r="J26" s="22">
        <f t="shared" si="6"/>
        <v>5</v>
      </c>
      <c r="K26" s="22">
        <v>5</v>
      </c>
      <c r="L26" s="22">
        <f t="shared" si="7"/>
        <v>100</v>
      </c>
      <c r="M26" s="22">
        <f t="shared" si="0"/>
        <v>30</v>
      </c>
      <c r="N26" s="28" t="str">
        <f t="shared" si="1"/>
        <v/>
      </c>
      <c r="O26" s="22">
        <v>10</v>
      </c>
      <c r="P26" s="22">
        <v>5</v>
      </c>
      <c r="Q26" s="22">
        <v>5</v>
      </c>
      <c r="R26" s="22">
        <v>100</v>
      </c>
      <c r="S26" s="22">
        <v>35</v>
      </c>
      <c r="T26" s="22">
        <v>100</v>
      </c>
      <c r="U26" s="22">
        <v>35</v>
      </c>
      <c r="V26" s="22">
        <f t="shared" si="8"/>
        <v>5</v>
      </c>
      <c r="W26" s="22">
        <v>5</v>
      </c>
      <c r="X26" s="22">
        <f t="shared" si="9"/>
        <v>100</v>
      </c>
      <c r="Y26" s="22">
        <f t="shared" si="2"/>
        <v>30</v>
      </c>
      <c r="Z26" s="28" t="str">
        <f t="shared" si="10"/>
        <v/>
      </c>
      <c r="AA26" s="22">
        <v>10</v>
      </c>
      <c r="AB26" s="22">
        <v>5</v>
      </c>
      <c r="AC26" s="22">
        <v>5</v>
      </c>
      <c r="AD26" s="22">
        <v>100</v>
      </c>
      <c r="AE26" s="22">
        <v>35</v>
      </c>
      <c r="AF26" s="22">
        <v>100</v>
      </c>
      <c r="AG26" s="22">
        <v>35</v>
      </c>
      <c r="AH26" s="22">
        <f t="shared" si="11"/>
        <v>5</v>
      </c>
      <c r="AI26" s="22">
        <v>5</v>
      </c>
      <c r="AJ26" s="22">
        <f t="shared" si="12"/>
        <v>100</v>
      </c>
      <c r="AK26" s="22">
        <f t="shared" si="3"/>
        <v>40</v>
      </c>
      <c r="AL26" s="28" t="str">
        <f t="shared" si="13"/>
        <v/>
      </c>
      <c r="AM26" s="22">
        <f t="shared" si="14"/>
        <v>100</v>
      </c>
      <c r="AN26" s="22" t="str">
        <f t="shared" si="15"/>
        <v>Aprobado</v>
      </c>
      <c r="AS26" s="34" t="str">
        <f t="shared" si="16"/>
        <v/>
      </c>
    </row>
    <row r="27" spans="1:45" ht="15" customHeight="1" x14ac:dyDescent="0.2">
      <c r="A27" s="19">
        <v>16</v>
      </c>
      <c r="B27" s="21"/>
      <c r="C27" s="22">
        <v>10</v>
      </c>
      <c r="D27" s="22">
        <v>5</v>
      </c>
      <c r="E27" s="22">
        <v>5</v>
      </c>
      <c r="F27" s="22">
        <v>100</v>
      </c>
      <c r="G27" s="22">
        <v>35</v>
      </c>
      <c r="H27" s="22">
        <v>100</v>
      </c>
      <c r="I27" s="22">
        <v>35</v>
      </c>
      <c r="J27" s="22">
        <f t="shared" si="6"/>
        <v>5</v>
      </c>
      <c r="K27" s="22">
        <v>5</v>
      </c>
      <c r="L27" s="22">
        <f t="shared" si="7"/>
        <v>100</v>
      </c>
      <c r="M27" s="22">
        <f t="shared" si="0"/>
        <v>30</v>
      </c>
      <c r="N27" s="28" t="str">
        <f t="shared" si="1"/>
        <v/>
      </c>
      <c r="O27" s="22">
        <v>10</v>
      </c>
      <c r="P27" s="22">
        <v>5</v>
      </c>
      <c r="Q27" s="22">
        <v>5</v>
      </c>
      <c r="R27" s="22">
        <v>100</v>
      </c>
      <c r="S27" s="22">
        <v>35</v>
      </c>
      <c r="T27" s="22">
        <v>100</v>
      </c>
      <c r="U27" s="22">
        <v>35</v>
      </c>
      <c r="V27" s="22">
        <f t="shared" si="8"/>
        <v>5</v>
      </c>
      <c r="W27" s="22">
        <v>5</v>
      </c>
      <c r="X27" s="22">
        <f t="shared" si="9"/>
        <v>100</v>
      </c>
      <c r="Y27" s="22">
        <f t="shared" si="2"/>
        <v>30</v>
      </c>
      <c r="Z27" s="28" t="str">
        <f t="shared" si="10"/>
        <v/>
      </c>
      <c r="AA27" s="22">
        <v>10</v>
      </c>
      <c r="AB27" s="22">
        <v>5</v>
      </c>
      <c r="AC27" s="22">
        <v>5</v>
      </c>
      <c r="AD27" s="22">
        <v>100</v>
      </c>
      <c r="AE27" s="22">
        <v>35</v>
      </c>
      <c r="AF27" s="22">
        <v>100</v>
      </c>
      <c r="AG27" s="22">
        <v>35</v>
      </c>
      <c r="AH27" s="22">
        <f t="shared" si="11"/>
        <v>5</v>
      </c>
      <c r="AI27" s="22">
        <v>5</v>
      </c>
      <c r="AJ27" s="22">
        <f t="shared" si="12"/>
        <v>100</v>
      </c>
      <c r="AK27" s="22">
        <f t="shared" si="3"/>
        <v>40</v>
      </c>
      <c r="AL27" s="28" t="str">
        <f t="shared" si="13"/>
        <v/>
      </c>
      <c r="AM27" s="22">
        <f t="shared" si="14"/>
        <v>100</v>
      </c>
      <c r="AN27" s="22" t="str">
        <f t="shared" si="15"/>
        <v>Aprobado</v>
      </c>
      <c r="AS27" s="34" t="str">
        <f t="shared" si="16"/>
        <v/>
      </c>
    </row>
    <row r="28" spans="1:45" ht="15" customHeight="1" x14ac:dyDescent="0.2">
      <c r="A28" s="19">
        <v>17</v>
      </c>
      <c r="B28" s="21"/>
      <c r="C28" s="22">
        <v>10</v>
      </c>
      <c r="D28" s="22">
        <v>5</v>
      </c>
      <c r="E28" s="22">
        <v>5</v>
      </c>
      <c r="F28" s="22">
        <v>100</v>
      </c>
      <c r="G28" s="22">
        <v>35</v>
      </c>
      <c r="H28" s="22">
        <v>100</v>
      </c>
      <c r="I28" s="22">
        <v>35</v>
      </c>
      <c r="J28" s="22">
        <f t="shared" si="6"/>
        <v>5</v>
      </c>
      <c r="K28" s="22">
        <v>5</v>
      </c>
      <c r="L28" s="22">
        <f t="shared" si="7"/>
        <v>100</v>
      </c>
      <c r="M28" s="22">
        <f t="shared" si="0"/>
        <v>30</v>
      </c>
      <c r="N28" s="28" t="str">
        <f t="shared" si="1"/>
        <v/>
      </c>
      <c r="O28" s="22">
        <v>10</v>
      </c>
      <c r="P28" s="22">
        <v>5</v>
      </c>
      <c r="Q28" s="22">
        <v>5</v>
      </c>
      <c r="R28" s="22">
        <v>100</v>
      </c>
      <c r="S28" s="22">
        <v>35</v>
      </c>
      <c r="T28" s="22">
        <v>100</v>
      </c>
      <c r="U28" s="22">
        <v>35</v>
      </c>
      <c r="V28" s="22">
        <f t="shared" si="8"/>
        <v>5</v>
      </c>
      <c r="W28" s="22">
        <v>5</v>
      </c>
      <c r="X28" s="22">
        <f t="shared" si="9"/>
        <v>100</v>
      </c>
      <c r="Y28" s="22">
        <f t="shared" si="2"/>
        <v>30</v>
      </c>
      <c r="Z28" s="28" t="str">
        <f>copyValue(N28)</f>
        <v/>
      </c>
      <c r="AA28" s="22">
        <v>10</v>
      </c>
      <c r="AB28" s="22">
        <v>5</v>
      </c>
      <c r="AC28" s="22">
        <v>5</v>
      </c>
      <c r="AD28" s="22">
        <v>100</v>
      </c>
      <c r="AE28" s="22">
        <v>35</v>
      </c>
      <c r="AF28" s="22">
        <v>100</v>
      </c>
      <c r="AG28" s="22">
        <v>35</v>
      </c>
      <c r="AH28" s="22">
        <f t="shared" si="11"/>
        <v>5</v>
      </c>
      <c r="AI28" s="22">
        <v>5</v>
      </c>
      <c r="AJ28" s="22">
        <f t="shared" si="12"/>
        <v>100</v>
      </c>
      <c r="AK28" s="22">
        <f t="shared" si="3"/>
        <v>40</v>
      </c>
      <c r="AL28" s="28" t="str">
        <f>copyValue(Z28)</f>
        <v/>
      </c>
      <c r="AM28" s="22">
        <f t="shared" si="14"/>
        <v>100</v>
      </c>
      <c r="AN28" s="22" t="str">
        <f t="shared" si="15"/>
        <v>Aprobado</v>
      </c>
      <c r="AS28" s="34" t="str">
        <f t="shared" si="16"/>
        <v/>
      </c>
    </row>
    <row r="29" spans="1:45" ht="15" customHeight="1" x14ac:dyDescent="0.2">
      <c r="A29" s="19">
        <v>18</v>
      </c>
      <c r="B29" s="21"/>
      <c r="C29" s="22">
        <v>10</v>
      </c>
      <c r="D29" s="22">
        <v>5</v>
      </c>
      <c r="E29" s="22">
        <v>5</v>
      </c>
      <c r="F29" s="22">
        <v>100</v>
      </c>
      <c r="G29" s="22">
        <v>35</v>
      </c>
      <c r="H29" s="22">
        <v>100</v>
      </c>
      <c r="I29" s="22">
        <v>35</v>
      </c>
      <c r="J29" s="22">
        <f t="shared" si="6"/>
        <v>5</v>
      </c>
      <c r="K29" s="22">
        <v>5</v>
      </c>
      <c r="L29" s="22">
        <f t="shared" si="7"/>
        <v>100</v>
      </c>
      <c r="M29" s="22">
        <f t="shared" si="0"/>
        <v>30</v>
      </c>
      <c r="N29" s="28" t="str">
        <f t="shared" si="1"/>
        <v/>
      </c>
      <c r="O29" s="22">
        <v>10</v>
      </c>
      <c r="P29" s="22">
        <v>5</v>
      </c>
      <c r="Q29" s="22">
        <v>5</v>
      </c>
      <c r="R29" s="22">
        <v>100</v>
      </c>
      <c r="S29" s="22">
        <v>35</v>
      </c>
      <c r="T29" s="22">
        <v>100</v>
      </c>
      <c r="U29" s="22">
        <v>35</v>
      </c>
      <c r="V29" s="22">
        <f t="shared" si="8"/>
        <v>5</v>
      </c>
      <c r="W29" s="22">
        <v>5</v>
      </c>
      <c r="X29" s="22">
        <f t="shared" si="9"/>
        <v>100</v>
      </c>
      <c r="Y29" s="22">
        <f t="shared" si="2"/>
        <v>30</v>
      </c>
      <c r="Z29" s="28" t="str">
        <f t="shared" si="10"/>
        <v/>
      </c>
      <c r="AA29" s="22">
        <v>10</v>
      </c>
      <c r="AB29" s="22">
        <v>5</v>
      </c>
      <c r="AC29" s="22">
        <v>5</v>
      </c>
      <c r="AD29" s="22">
        <v>100</v>
      </c>
      <c r="AE29" s="22">
        <v>35</v>
      </c>
      <c r="AF29" s="22">
        <v>100</v>
      </c>
      <c r="AG29" s="22">
        <v>35</v>
      </c>
      <c r="AH29" s="22">
        <f t="shared" si="11"/>
        <v>5</v>
      </c>
      <c r="AI29" s="22">
        <v>5</v>
      </c>
      <c r="AJ29" s="22">
        <f t="shared" si="12"/>
        <v>100</v>
      </c>
      <c r="AK29" s="22">
        <f t="shared" si="3"/>
        <v>40</v>
      </c>
      <c r="AL29" s="28" t="str">
        <f t="shared" si="13"/>
        <v/>
      </c>
      <c r="AM29" s="22">
        <f t="shared" si="14"/>
        <v>100</v>
      </c>
      <c r="AN29" s="22" t="str">
        <f t="shared" si="15"/>
        <v>Aprobado</v>
      </c>
      <c r="AS29" s="34" t="str">
        <f t="shared" si="16"/>
        <v/>
      </c>
    </row>
    <row r="30" spans="1:45" ht="15" customHeight="1" x14ac:dyDescent="0.2">
      <c r="A30" s="19">
        <v>19</v>
      </c>
      <c r="B30" s="21"/>
      <c r="C30" s="22">
        <v>10</v>
      </c>
      <c r="D30" s="22">
        <v>5</v>
      </c>
      <c r="E30" s="22">
        <v>5</v>
      </c>
      <c r="F30" s="22">
        <v>100</v>
      </c>
      <c r="G30" s="22">
        <v>35</v>
      </c>
      <c r="H30" s="22">
        <v>100</v>
      </c>
      <c r="I30" s="22">
        <v>35</v>
      </c>
      <c r="J30" s="22">
        <f t="shared" si="6"/>
        <v>5</v>
      </c>
      <c r="K30" s="22">
        <v>5</v>
      </c>
      <c r="L30" s="22">
        <f t="shared" si="7"/>
        <v>100</v>
      </c>
      <c r="M30" s="22">
        <f t="shared" si="0"/>
        <v>30</v>
      </c>
      <c r="N30" s="28" t="str">
        <f t="shared" si="1"/>
        <v/>
      </c>
      <c r="O30" s="22">
        <v>10</v>
      </c>
      <c r="P30" s="22">
        <v>5</v>
      </c>
      <c r="Q30" s="22">
        <v>5</v>
      </c>
      <c r="R30" s="22">
        <v>100</v>
      </c>
      <c r="S30" s="22">
        <v>35</v>
      </c>
      <c r="T30" s="22">
        <v>100</v>
      </c>
      <c r="U30" s="22">
        <v>35</v>
      </c>
      <c r="V30" s="22">
        <f t="shared" si="8"/>
        <v>5</v>
      </c>
      <c r="W30" s="22">
        <v>5</v>
      </c>
      <c r="X30" s="22">
        <f t="shared" si="9"/>
        <v>100</v>
      </c>
      <c r="Y30" s="22">
        <f t="shared" si="2"/>
        <v>30</v>
      </c>
      <c r="Z30" s="28" t="str">
        <f t="shared" si="10"/>
        <v/>
      </c>
      <c r="AA30" s="22">
        <v>10</v>
      </c>
      <c r="AB30" s="22">
        <v>5</v>
      </c>
      <c r="AC30" s="22">
        <v>5</v>
      </c>
      <c r="AD30" s="22">
        <v>100</v>
      </c>
      <c r="AE30" s="22">
        <v>35</v>
      </c>
      <c r="AF30" s="22">
        <v>100</v>
      </c>
      <c r="AG30" s="22">
        <v>35</v>
      </c>
      <c r="AH30" s="22">
        <f t="shared" si="11"/>
        <v>5</v>
      </c>
      <c r="AI30" s="22">
        <v>5</v>
      </c>
      <c r="AJ30" s="22">
        <f t="shared" si="12"/>
        <v>100</v>
      </c>
      <c r="AK30" s="22">
        <f t="shared" si="3"/>
        <v>40</v>
      </c>
      <c r="AL30" s="28" t="str">
        <f t="shared" si="13"/>
        <v/>
      </c>
      <c r="AM30" s="22">
        <f t="shared" si="14"/>
        <v>100</v>
      </c>
      <c r="AN30" s="22" t="str">
        <f t="shared" si="15"/>
        <v>Aprobado</v>
      </c>
      <c r="AS30" s="34" t="str">
        <f t="shared" si="16"/>
        <v/>
      </c>
    </row>
    <row r="31" spans="1:45" ht="15" customHeight="1" x14ac:dyDescent="0.2">
      <c r="A31" s="19">
        <v>20</v>
      </c>
      <c r="B31" s="21"/>
      <c r="C31" s="22">
        <v>10</v>
      </c>
      <c r="D31" s="22">
        <v>5</v>
      </c>
      <c r="E31" s="22">
        <v>5</v>
      </c>
      <c r="F31" s="22">
        <v>100</v>
      </c>
      <c r="G31" s="22">
        <v>35</v>
      </c>
      <c r="H31" s="22">
        <v>100</v>
      </c>
      <c r="I31" s="22">
        <v>35</v>
      </c>
      <c r="J31" s="22">
        <f t="shared" si="6"/>
        <v>5</v>
      </c>
      <c r="K31" s="22">
        <v>5</v>
      </c>
      <c r="L31" s="22">
        <f t="shared" si="7"/>
        <v>100</v>
      </c>
      <c r="M31" s="22">
        <f t="shared" si="0"/>
        <v>30</v>
      </c>
      <c r="N31" s="28" t="str">
        <f t="shared" si="1"/>
        <v/>
      </c>
      <c r="O31" s="22">
        <v>10</v>
      </c>
      <c r="P31" s="22">
        <v>5</v>
      </c>
      <c r="Q31" s="22">
        <v>5</v>
      </c>
      <c r="R31" s="22">
        <v>100</v>
      </c>
      <c r="S31" s="22">
        <v>35</v>
      </c>
      <c r="T31" s="22">
        <v>100</v>
      </c>
      <c r="U31" s="22">
        <v>35</v>
      </c>
      <c r="V31" s="22">
        <f t="shared" si="8"/>
        <v>5</v>
      </c>
      <c r="W31" s="22">
        <v>5</v>
      </c>
      <c r="X31" s="22">
        <f t="shared" si="9"/>
        <v>100</v>
      </c>
      <c r="Y31" s="22">
        <f t="shared" si="2"/>
        <v>30</v>
      </c>
      <c r="Z31" s="28" t="str">
        <f t="shared" si="10"/>
        <v/>
      </c>
      <c r="AA31" s="22">
        <v>10</v>
      </c>
      <c r="AB31" s="22">
        <v>5</v>
      </c>
      <c r="AC31" s="22">
        <v>5</v>
      </c>
      <c r="AD31" s="22">
        <v>100</v>
      </c>
      <c r="AE31" s="22">
        <v>35</v>
      </c>
      <c r="AF31" s="22">
        <v>100</v>
      </c>
      <c r="AG31" s="22">
        <v>35</v>
      </c>
      <c r="AH31" s="22">
        <f t="shared" si="11"/>
        <v>5</v>
      </c>
      <c r="AI31" s="22">
        <v>5</v>
      </c>
      <c r="AJ31" s="22">
        <f t="shared" si="12"/>
        <v>100</v>
      </c>
      <c r="AK31" s="22">
        <f t="shared" si="3"/>
        <v>40</v>
      </c>
      <c r="AL31" s="28" t="str">
        <f t="shared" si="13"/>
        <v/>
      </c>
      <c r="AM31" s="22">
        <f t="shared" si="14"/>
        <v>100</v>
      </c>
      <c r="AN31" s="22" t="str">
        <f t="shared" si="15"/>
        <v>Aprobado</v>
      </c>
      <c r="AS31" s="34" t="str">
        <f t="shared" si="16"/>
        <v/>
      </c>
    </row>
    <row r="32" spans="1:45" ht="15" customHeight="1" x14ac:dyDescent="0.2">
      <c r="A32" s="19">
        <v>21</v>
      </c>
      <c r="B32" s="21"/>
      <c r="C32" s="22">
        <v>10</v>
      </c>
      <c r="D32" s="22">
        <v>5</v>
      </c>
      <c r="E32" s="22">
        <v>5</v>
      </c>
      <c r="F32" s="22">
        <v>100</v>
      </c>
      <c r="G32" s="22">
        <v>35</v>
      </c>
      <c r="H32" s="22">
        <v>100</v>
      </c>
      <c r="I32" s="22">
        <v>35</v>
      </c>
      <c r="J32" s="22">
        <f t="shared" si="6"/>
        <v>5</v>
      </c>
      <c r="K32" s="22">
        <v>5</v>
      </c>
      <c r="L32" s="22">
        <f t="shared" si="7"/>
        <v>100</v>
      </c>
      <c r="M32" s="22">
        <f t="shared" si="0"/>
        <v>30</v>
      </c>
      <c r="N32" s="28" t="str">
        <f t="shared" si="1"/>
        <v/>
      </c>
      <c r="O32" s="22">
        <v>10</v>
      </c>
      <c r="P32" s="22">
        <v>5</v>
      </c>
      <c r="Q32" s="22">
        <v>5</v>
      </c>
      <c r="R32" s="22">
        <v>100</v>
      </c>
      <c r="S32" s="22">
        <v>35</v>
      </c>
      <c r="T32" s="22">
        <v>100</v>
      </c>
      <c r="U32" s="22">
        <v>35</v>
      </c>
      <c r="V32" s="22">
        <f t="shared" si="8"/>
        <v>5</v>
      </c>
      <c r="W32" s="22">
        <v>5</v>
      </c>
      <c r="X32" s="22">
        <f t="shared" si="9"/>
        <v>100</v>
      </c>
      <c r="Y32" s="22">
        <f t="shared" si="2"/>
        <v>30</v>
      </c>
      <c r="Z32" s="28" t="str">
        <f t="shared" si="10"/>
        <v/>
      </c>
      <c r="AA32" s="22">
        <v>10</v>
      </c>
      <c r="AB32" s="22">
        <v>5</v>
      </c>
      <c r="AC32" s="22">
        <v>5</v>
      </c>
      <c r="AD32" s="22">
        <v>100</v>
      </c>
      <c r="AE32" s="22">
        <v>35</v>
      </c>
      <c r="AF32" s="22">
        <v>100</v>
      </c>
      <c r="AG32" s="22">
        <v>35</v>
      </c>
      <c r="AH32" s="22">
        <f t="shared" si="11"/>
        <v>5</v>
      </c>
      <c r="AI32" s="22">
        <v>5</v>
      </c>
      <c r="AJ32" s="22">
        <f t="shared" si="12"/>
        <v>100</v>
      </c>
      <c r="AK32" s="22">
        <f t="shared" si="3"/>
        <v>40</v>
      </c>
      <c r="AL32" s="28" t="str">
        <f t="shared" si="13"/>
        <v/>
      </c>
      <c r="AM32" s="22">
        <f t="shared" si="14"/>
        <v>100</v>
      </c>
      <c r="AN32" s="22" t="str">
        <f t="shared" si="15"/>
        <v>Aprobado</v>
      </c>
      <c r="AS32" s="34" t="str">
        <f t="shared" si="16"/>
        <v/>
      </c>
    </row>
    <row r="33" spans="1:45" ht="15" customHeight="1" x14ac:dyDescent="0.2">
      <c r="A33" s="19">
        <v>22</v>
      </c>
      <c r="B33" s="21"/>
      <c r="C33" s="22">
        <v>10</v>
      </c>
      <c r="D33" s="22">
        <v>5</v>
      </c>
      <c r="E33" s="22">
        <v>5</v>
      </c>
      <c r="F33" s="22">
        <v>100</v>
      </c>
      <c r="G33" s="22">
        <v>35</v>
      </c>
      <c r="H33" s="22">
        <v>100</v>
      </c>
      <c r="I33" s="22">
        <v>35</v>
      </c>
      <c r="J33" s="22">
        <f t="shared" si="6"/>
        <v>5</v>
      </c>
      <c r="K33" s="22">
        <v>5</v>
      </c>
      <c r="L33" s="22">
        <f t="shared" si="7"/>
        <v>100</v>
      </c>
      <c r="M33" s="22">
        <f t="shared" si="0"/>
        <v>30</v>
      </c>
      <c r="N33" s="28" t="str">
        <f t="shared" si="1"/>
        <v/>
      </c>
      <c r="O33" s="22">
        <v>10</v>
      </c>
      <c r="P33" s="22">
        <v>5</v>
      </c>
      <c r="Q33" s="22">
        <v>5</v>
      </c>
      <c r="R33" s="22">
        <v>100</v>
      </c>
      <c r="S33" s="22">
        <v>35</v>
      </c>
      <c r="T33" s="22">
        <v>100</v>
      </c>
      <c r="U33" s="22">
        <v>35</v>
      </c>
      <c r="V33" s="22">
        <f t="shared" si="8"/>
        <v>5</v>
      </c>
      <c r="W33" s="22">
        <v>5</v>
      </c>
      <c r="X33" s="22">
        <f t="shared" si="9"/>
        <v>100</v>
      </c>
      <c r="Y33" s="22">
        <f t="shared" si="2"/>
        <v>30</v>
      </c>
      <c r="Z33" s="28" t="str">
        <f t="shared" si="10"/>
        <v/>
      </c>
      <c r="AA33" s="22">
        <v>10</v>
      </c>
      <c r="AB33" s="22">
        <v>5</v>
      </c>
      <c r="AC33" s="22">
        <v>5</v>
      </c>
      <c r="AD33" s="22">
        <v>100</v>
      </c>
      <c r="AE33" s="22">
        <v>35</v>
      </c>
      <c r="AF33" s="22">
        <v>100</v>
      </c>
      <c r="AG33" s="22">
        <v>35</v>
      </c>
      <c r="AH33" s="22">
        <f t="shared" si="11"/>
        <v>5</v>
      </c>
      <c r="AI33" s="22">
        <v>5</v>
      </c>
      <c r="AJ33" s="22">
        <f t="shared" si="12"/>
        <v>100</v>
      </c>
      <c r="AK33" s="22">
        <f t="shared" si="3"/>
        <v>40</v>
      </c>
      <c r="AL33" s="28" t="str">
        <f t="shared" si="13"/>
        <v/>
      </c>
      <c r="AM33" s="22">
        <f t="shared" si="14"/>
        <v>100</v>
      </c>
      <c r="AN33" s="22" t="str">
        <f t="shared" si="15"/>
        <v>Aprobado</v>
      </c>
      <c r="AS33" s="34" t="str">
        <f t="shared" si="16"/>
        <v/>
      </c>
    </row>
    <row r="34" spans="1:45" ht="15" customHeight="1" x14ac:dyDescent="0.2">
      <c r="A34" s="19">
        <v>23</v>
      </c>
      <c r="B34" s="21"/>
      <c r="C34" s="22">
        <v>10</v>
      </c>
      <c r="D34" s="22">
        <v>5</v>
      </c>
      <c r="E34" s="22">
        <v>5</v>
      </c>
      <c r="F34" s="22">
        <v>100</v>
      </c>
      <c r="G34" s="22">
        <v>35</v>
      </c>
      <c r="H34" s="22">
        <v>100</v>
      </c>
      <c r="I34" s="22">
        <v>35</v>
      </c>
      <c r="J34" s="22">
        <f t="shared" si="6"/>
        <v>5</v>
      </c>
      <c r="K34" s="22">
        <v>5</v>
      </c>
      <c r="L34" s="22">
        <f t="shared" si="7"/>
        <v>100</v>
      </c>
      <c r="M34" s="22">
        <f t="shared" si="0"/>
        <v>30</v>
      </c>
      <c r="N34" s="28" t="str">
        <f t="shared" si="1"/>
        <v/>
      </c>
      <c r="O34" s="22">
        <v>10</v>
      </c>
      <c r="P34" s="22">
        <v>5</v>
      </c>
      <c r="Q34" s="22">
        <v>5</v>
      </c>
      <c r="R34" s="22">
        <v>100</v>
      </c>
      <c r="S34" s="22">
        <v>35</v>
      </c>
      <c r="T34" s="22">
        <v>100</v>
      </c>
      <c r="U34" s="22">
        <v>35</v>
      </c>
      <c r="V34" s="22">
        <f t="shared" si="8"/>
        <v>5</v>
      </c>
      <c r="W34" s="22">
        <v>5</v>
      </c>
      <c r="X34" s="22">
        <f t="shared" si="9"/>
        <v>100</v>
      </c>
      <c r="Y34" s="22">
        <f t="shared" si="2"/>
        <v>30</v>
      </c>
      <c r="Z34" s="28" t="str">
        <f t="shared" si="10"/>
        <v/>
      </c>
      <c r="AA34" s="22">
        <v>10</v>
      </c>
      <c r="AB34" s="22">
        <v>5</v>
      </c>
      <c r="AC34" s="22">
        <v>5</v>
      </c>
      <c r="AD34" s="22">
        <v>100</v>
      </c>
      <c r="AE34" s="22">
        <v>35</v>
      </c>
      <c r="AF34" s="22">
        <v>100</v>
      </c>
      <c r="AG34" s="22">
        <v>35</v>
      </c>
      <c r="AH34" s="22">
        <f t="shared" si="11"/>
        <v>5</v>
      </c>
      <c r="AI34" s="22">
        <v>5</v>
      </c>
      <c r="AJ34" s="22">
        <f t="shared" si="12"/>
        <v>100</v>
      </c>
      <c r="AK34" s="22">
        <f t="shared" si="3"/>
        <v>40</v>
      </c>
      <c r="AL34" s="28" t="str">
        <f t="shared" si="13"/>
        <v/>
      </c>
      <c r="AM34" s="22">
        <f t="shared" si="14"/>
        <v>100</v>
      </c>
      <c r="AN34" s="22" t="str">
        <f t="shared" si="15"/>
        <v>Aprobado</v>
      </c>
      <c r="AS34" s="34" t="str">
        <f t="shared" si="16"/>
        <v/>
      </c>
    </row>
    <row r="35" spans="1:45" ht="15" customHeight="1" x14ac:dyDescent="0.2">
      <c r="A35" s="19">
        <v>24</v>
      </c>
      <c r="B35" s="21"/>
      <c r="C35" s="22">
        <v>10</v>
      </c>
      <c r="D35" s="22">
        <v>5</v>
      </c>
      <c r="E35" s="22">
        <v>5</v>
      </c>
      <c r="F35" s="22">
        <v>100</v>
      </c>
      <c r="G35" s="22">
        <v>35</v>
      </c>
      <c r="H35" s="22">
        <v>100</v>
      </c>
      <c r="I35" s="22">
        <v>35</v>
      </c>
      <c r="J35" s="22">
        <f t="shared" si="6"/>
        <v>5</v>
      </c>
      <c r="K35" s="22">
        <v>5</v>
      </c>
      <c r="L35" s="22">
        <f t="shared" si="7"/>
        <v>100</v>
      </c>
      <c r="M35" s="22">
        <f t="shared" si="0"/>
        <v>30</v>
      </c>
      <c r="N35" s="28" t="str">
        <f t="shared" si="1"/>
        <v/>
      </c>
      <c r="O35" s="22">
        <v>10</v>
      </c>
      <c r="P35" s="22">
        <v>5</v>
      </c>
      <c r="Q35" s="22">
        <v>5</v>
      </c>
      <c r="R35" s="22">
        <v>100</v>
      </c>
      <c r="S35" s="22">
        <v>35</v>
      </c>
      <c r="T35" s="22">
        <v>100</v>
      </c>
      <c r="U35" s="22">
        <v>35</v>
      </c>
      <c r="V35" s="22">
        <f t="shared" si="8"/>
        <v>5</v>
      </c>
      <c r="W35" s="22">
        <v>5</v>
      </c>
      <c r="X35" s="22">
        <f t="shared" si="9"/>
        <v>100</v>
      </c>
      <c r="Y35" s="22">
        <f t="shared" si="2"/>
        <v>30</v>
      </c>
      <c r="Z35" s="28" t="str">
        <f t="shared" si="10"/>
        <v/>
      </c>
      <c r="AA35" s="22">
        <v>10</v>
      </c>
      <c r="AB35" s="22">
        <v>5</v>
      </c>
      <c r="AC35" s="22">
        <v>5</v>
      </c>
      <c r="AD35" s="22">
        <v>100</v>
      </c>
      <c r="AE35" s="22">
        <v>35</v>
      </c>
      <c r="AF35" s="22">
        <v>100</v>
      </c>
      <c r="AG35" s="22">
        <v>35</v>
      </c>
      <c r="AH35" s="22">
        <f t="shared" si="11"/>
        <v>5</v>
      </c>
      <c r="AI35" s="22">
        <v>5</v>
      </c>
      <c r="AJ35" s="22">
        <f t="shared" si="12"/>
        <v>100</v>
      </c>
      <c r="AK35" s="22">
        <f t="shared" si="3"/>
        <v>40</v>
      </c>
      <c r="AL35" s="28" t="str">
        <f t="shared" si="13"/>
        <v/>
      </c>
      <c r="AM35" s="22">
        <f t="shared" si="14"/>
        <v>100</v>
      </c>
      <c r="AN35" s="22" t="str">
        <f t="shared" si="15"/>
        <v>Aprobado</v>
      </c>
      <c r="AS35" s="34" t="str">
        <f t="shared" si="16"/>
        <v/>
      </c>
    </row>
    <row r="36" spans="1:45" ht="15" customHeight="1" x14ac:dyDescent="0.2">
      <c r="A36" s="19">
        <v>25</v>
      </c>
      <c r="B36" s="21"/>
      <c r="C36" s="22">
        <v>10</v>
      </c>
      <c r="D36" s="22">
        <v>5</v>
      </c>
      <c r="E36" s="22">
        <v>5</v>
      </c>
      <c r="F36" s="22">
        <v>100</v>
      </c>
      <c r="G36" s="22">
        <v>35</v>
      </c>
      <c r="H36" s="22">
        <v>100</v>
      </c>
      <c r="I36" s="22">
        <v>35</v>
      </c>
      <c r="J36" s="22">
        <f t="shared" si="6"/>
        <v>5</v>
      </c>
      <c r="K36" s="22">
        <v>5</v>
      </c>
      <c r="L36" s="22">
        <f t="shared" si="7"/>
        <v>100</v>
      </c>
      <c r="M36" s="22">
        <f t="shared" si="0"/>
        <v>30</v>
      </c>
      <c r="N36" s="28" t="str">
        <f t="shared" si="1"/>
        <v/>
      </c>
      <c r="O36" s="22">
        <v>10</v>
      </c>
      <c r="P36" s="22">
        <v>5</v>
      </c>
      <c r="Q36" s="22">
        <v>5</v>
      </c>
      <c r="R36" s="22">
        <v>100</v>
      </c>
      <c r="S36" s="22">
        <v>35</v>
      </c>
      <c r="T36" s="22">
        <v>100</v>
      </c>
      <c r="U36" s="22">
        <v>35</v>
      </c>
      <c r="V36" s="22">
        <f t="shared" si="8"/>
        <v>5</v>
      </c>
      <c r="W36" s="22">
        <v>5</v>
      </c>
      <c r="X36" s="22">
        <f t="shared" si="9"/>
        <v>100</v>
      </c>
      <c r="Y36" s="22">
        <f t="shared" si="2"/>
        <v>30</v>
      </c>
      <c r="Z36" s="28" t="str">
        <f t="shared" si="10"/>
        <v/>
      </c>
      <c r="AA36" s="22">
        <v>10</v>
      </c>
      <c r="AB36" s="22">
        <v>5</v>
      </c>
      <c r="AC36" s="22">
        <v>5</v>
      </c>
      <c r="AD36" s="22">
        <v>100</v>
      </c>
      <c r="AE36" s="22">
        <v>35</v>
      </c>
      <c r="AF36" s="22">
        <v>100</v>
      </c>
      <c r="AG36" s="22">
        <v>35</v>
      </c>
      <c r="AH36" s="22">
        <f t="shared" si="11"/>
        <v>5</v>
      </c>
      <c r="AI36" s="22">
        <v>5</v>
      </c>
      <c r="AJ36" s="22">
        <f t="shared" si="12"/>
        <v>100</v>
      </c>
      <c r="AK36" s="22">
        <f t="shared" si="3"/>
        <v>40</v>
      </c>
      <c r="AL36" s="28" t="str">
        <f t="shared" si="13"/>
        <v/>
      </c>
      <c r="AM36" s="22">
        <f t="shared" si="14"/>
        <v>100</v>
      </c>
      <c r="AN36" s="22" t="str">
        <f t="shared" si="15"/>
        <v>Aprobado</v>
      </c>
      <c r="AS36" s="34" t="str">
        <f t="shared" si="16"/>
        <v/>
      </c>
    </row>
    <row r="37" spans="1:45" ht="15" customHeight="1" x14ac:dyDescent="0.2">
      <c r="A37" s="19">
        <v>26</v>
      </c>
      <c r="B37" s="21"/>
      <c r="C37" s="22">
        <v>10</v>
      </c>
      <c r="D37" s="22">
        <v>5</v>
      </c>
      <c r="E37" s="22">
        <v>5</v>
      </c>
      <c r="F37" s="22">
        <v>100</v>
      </c>
      <c r="G37" s="22">
        <v>35</v>
      </c>
      <c r="H37" s="22">
        <v>100</v>
      </c>
      <c r="I37" s="22">
        <v>35</v>
      </c>
      <c r="J37" s="22">
        <f t="shared" si="6"/>
        <v>5</v>
      </c>
      <c r="K37" s="22">
        <v>5</v>
      </c>
      <c r="L37" s="22">
        <f t="shared" si="7"/>
        <v>100</v>
      </c>
      <c r="M37" s="22">
        <f t="shared" si="0"/>
        <v>30</v>
      </c>
      <c r="N37" s="28" t="str">
        <f t="shared" si="1"/>
        <v/>
      </c>
      <c r="O37" s="22">
        <v>10</v>
      </c>
      <c r="P37" s="22">
        <v>5</v>
      </c>
      <c r="Q37" s="22">
        <v>5</v>
      </c>
      <c r="R37" s="22">
        <v>100</v>
      </c>
      <c r="S37" s="22">
        <v>35</v>
      </c>
      <c r="T37" s="22">
        <v>100</v>
      </c>
      <c r="U37" s="22">
        <v>35</v>
      </c>
      <c r="V37" s="22">
        <f t="shared" si="8"/>
        <v>5</v>
      </c>
      <c r="W37" s="22">
        <v>5</v>
      </c>
      <c r="X37" s="22">
        <f t="shared" si="9"/>
        <v>100</v>
      </c>
      <c r="Y37" s="22">
        <f t="shared" si="2"/>
        <v>30</v>
      </c>
      <c r="Z37" s="28" t="str">
        <f t="shared" si="10"/>
        <v/>
      </c>
      <c r="AA37" s="22">
        <v>10</v>
      </c>
      <c r="AB37" s="22">
        <v>5</v>
      </c>
      <c r="AC37" s="22">
        <v>5</v>
      </c>
      <c r="AD37" s="22">
        <v>100</v>
      </c>
      <c r="AE37" s="22">
        <v>35</v>
      </c>
      <c r="AF37" s="22">
        <v>100</v>
      </c>
      <c r="AG37" s="22">
        <v>35</v>
      </c>
      <c r="AH37" s="22">
        <f t="shared" si="11"/>
        <v>5</v>
      </c>
      <c r="AI37" s="22">
        <v>5</v>
      </c>
      <c r="AJ37" s="22">
        <f t="shared" si="12"/>
        <v>100</v>
      </c>
      <c r="AK37" s="22">
        <f t="shared" si="3"/>
        <v>40</v>
      </c>
      <c r="AL37" s="28" t="str">
        <f t="shared" si="13"/>
        <v/>
      </c>
      <c r="AM37" s="22">
        <f t="shared" si="14"/>
        <v>100</v>
      </c>
      <c r="AN37" s="22" t="str">
        <f t="shared" si="15"/>
        <v>Aprobado</v>
      </c>
      <c r="AS37" s="34" t="str">
        <f t="shared" si="16"/>
        <v/>
      </c>
    </row>
    <row r="38" spans="1:45" ht="15" customHeight="1" x14ac:dyDescent="0.2">
      <c r="A38" s="19">
        <v>27</v>
      </c>
      <c r="B38" s="21"/>
      <c r="C38" s="22">
        <v>10</v>
      </c>
      <c r="D38" s="22">
        <v>5</v>
      </c>
      <c r="E38" s="22">
        <v>5</v>
      </c>
      <c r="F38" s="22">
        <v>100</v>
      </c>
      <c r="G38" s="22">
        <v>35</v>
      </c>
      <c r="H38" s="22">
        <v>100</v>
      </c>
      <c r="I38" s="22">
        <v>35</v>
      </c>
      <c r="J38" s="22">
        <f t="shared" si="6"/>
        <v>5</v>
      </c>
      <c r="K38" s="22">
        <v>5</v>
      </c>
      <c r="L38" s="22">
        <f t="shared" si="7"/>
        <v>100</v>
      </c>
      <c r="M38" s="22">
        <f t="shared" si="0"/>
        <v>30</v>
      </c>
      <c r="N38" s="28" t="str">
        <f t="shared" si="1"/>
        <v/>
      </c>
      <c r="O38" s="22">
        <v>10</v>
      </c>
      <c r="P38" s="22">
        <v>5</v>
      </c>
      <c r="Q38" s="22">
        <v>5</v>
      </c>
      <c r="R38" s="22">
        <v>100</v>
      </c>
      <c r="S38" s="22">
        <v>35</v>
      </c>
      <c r="T38" s="22">
        <v>100</v>
      </c>
      <c r="U38" s="22">
        <v>35</v>
      </c>
      <c r="V38" s="22">
        <f t="shared" si="8"/>
        <v>5</v>
      </c>
      <c r="W38" s="22">
        <v>5</v>
      </c>
      <c r="X38" s="22">
        <f t="shared" si="9"/>
        <v>100</v>
      </c>
      <c r="Y38" s="22">
        <f t="shared" si="2"/>
        <v>30</v>
      </c>
      <c r="Z38" s="28" t="str">
        <f t="shared" si="10"/>
        <v/>
      </c>
      <c r="AA38" s="22">
        <v>10</v>
      </c>
      <c r="AB38" s="22">
        <v>5</v>
      </c>
      <c r="AC38" s="22">
        <v>5</v>
      </c>
      <c r="AD38" s="22">
        <v>100</v>
      </c>
      <c r="AE38" s="22">
        <v>35</v>
      </c>
      <c r="AF38" s="22">
        <v>100</v>
      </c>
      <c r="AG38" s="22">
        <v>35</v>
      </c>
      <c r="AH38" s="22">
        <f t="shared" si="11"/>
        <v>5</v>
      </c>
      <c r="AI38" s="22">
        <v>5</v>
      </c>
      <c r="AJ38" s="22">
        <f t="shared" si="12"/>
        <v>100</v>
      </c>
      <c r="AK38" s="22">
        <f t="shared" si="3"/>
        <v>40</v>
      </c>
      <c r="AL38" s="28" t="str">
        <f t="shared" si="13"/>
        <v/>
      </c>
      <c r="AM38" s="22">
        <f t="shared" si="14"/>
        <v>100</v>
      </c>
      <c r="AN38" s="22" t="str">
        <f t="shared" si="15"/>
        <v>Aprobado</v>
      </c>
      <c r="AS38" s="34" t="str">
        <f t="shared" si="16"/>
        <v/>
      </c>
    </row>
    <row r="39" spans="1:45" ht="15" customHeight="1" x14ac:dyDescent="0.2">
      <c r="A39" s="19">
        <v>28</v>
      </c>
      <c r="B39" s="21"/>
      <c r="C39" s="22">
        <v>10</v>
      </c>
      <c r="D39" s="22">
        <v>5</v>
      </c>
      <c r="E39" s="22">
        <v>5</v>
      </c>
      <c r="F39" s="22">
        <v>100</v>
      </c>
      <c r="G39" s="22">
        <v>35</v>
      </c>
      <c r="H39" s="22">
        <v>100</v>
      </c>
      <c r="I39" s="22">
        <v>35</v>
      </c>
      <c r="J39" s="22">
        <f t="shared" si="6"/>
        <v>5</v>
      </c>
      <c r="K39" s="22">
        <v>5</v>
      </c>
      <c r="L39" s="22">
        <f t="shared" si="7"/>
        <v>100</v>
      </c>
      <c r="M39" s="22">
        <f t="shared" si="0"/>
        <v>30</v>
      </c>
      <c r="N39" s="28" t="str">
        <f t="shared" si="1"/>
        <v/>
      </c>
      <c r="O39" s="22">
        <v>10</v>
      </c>
      <c r="P39" s="22">
        <v>5</v>
      </c>
      <c r="Q39" s="22">
        <v>5</v>
      </c>
      <c r="R39" s="22">
        <v>100</v>
      </c>
      <c r="S39" s="22">
        <v>35</v>
      </c>
      <c r="T39" s="22">
        <v>100</v>
      </c>
      <c r="U39" s="22">
        <v>35</v>
      </c>
      <c r="V39" s="22">
        <f t="shared" si="8"/>
        <v>5</v>
      </c>
      <c r="W39" s="22">
        <v>5</v>
      </c>
      <c r="X39" s="22">
        <f t="shared" si="9"/>
        <v>100</v>
      </c>
      <c r="Y39" s="22">
        <f t="shared" si="2"/>
        <v>30</v>
      </c>
      <c r="Z39" s="28" t="str">
        <f t="shared" si="10"/>
        <v/>
      </c>
      <c r="AA39" s="22">
        <v>10</v>
      </c>
      <c r="AB39" s="22">
        <v>5</v>
      </c>
      <c r="AC39" s="22">
        <v>5</v>
      </c>
      <c r="AD39" s="22">
        <v>100</v>
      </c>
      <c r="AE39" s="22">
        <v>35</v>
      </c>
      <c r="AF39" s="22">
        <v>100</v>
      </c>
      <c r="AG39" s="22">
        <v>35</v>
      </c>
      <c r="AH39" s="22">
        <f t="shared" si="11"/>
        <v>5</v>
      </c>
      <c r="AI39" s="22">
        <v>5</v>
      </c>
      <c r="AJ39" s="22">
        <f t="shared" si="12"/>
        <v>100</v>
      </c>
      <c r="AK39" s="22">
        <f t="shared" si="3"/>
        <v>40</v>
      </c>
      <c r="AL39" s="28" t="str">
        <f t="shared" si="13"/>
        <v/>
      </c>
      <c r="AM39" s="22">
        <f t="shared" si="14"/>
        <v>100</v>
      </c>
      <c r="AN39" s="22" t="str">
        <f t="shared" si="15"/>
        <v>Aprobado</v>
      </c>
      <c r="AS39" s="34" t="str">
        <f t="shared" si="16"/>
        <v/>
      </c>
    </row>
    <row r="40" spans="1:45" ht="15" customHeight="1" x14ac:dyDescent="0.2">
      <c r="A40" s="19">
        <v>29</v>
      </c>
      <c r="B40" s="21"/>
      <c r="C40" s="22">
        <v>10</v>
      </c>
      <c r="D40" s="22">
        <v>5</v>
      </c>
      <c r="E40" s="22">
        <v>5</v>
      </c>
      <c r="F40" s="22">
        <v>100</v>
      </c>
      <c r="G40" s="22">
        <v>35</v>
      </c>
      <c r="H40" s="22">
        <v>100</v>
      </c>
      <c r="I40" s="22">
        <v>35</v>
      </c>
      <c r="J40" s="22">
        <f t="shared" si="6"/>
        <v>5</v>
      </c>
      <c r="K40" s="22">
        <v>5</v>
      </c>
      <c r="L40" s="22">
        <f t="shared" si="7"/>
        <v>100</v>
      </c>
      <c r="M40" s="22">
        <f t="shared" si="0"/>
        <v>30</v>
      </c>
      <c r="N40" s="28" t="str">
        <f t="shared" si="1"/>
        <v/>
      </c>
      <c r="O40" s="22">
        <v>10</v>
      </c>
      <c r="P40" s="22">
        <v>5</v>
      </c>
      <c r="Q40" s="22">
        <v>5</v>
      </c>
      <c r="R40" s="22">
        <v>100</v>
      </c>
      <c r="S40" s="22">
        <v>35</v>
      </c>
      <c r="T40" s="22">
        <v>100</v>
      </c>
      <c r="U40" s="22">
        <v>35</v>
      </c>
      <c r="V40" s="22">
        <f t="shared" si="8"/>
        <v>5</v>
      </c>
      <c r="W40" s="22">
        <v>5</v>
      </c>
      <c r="X40" s="22">
        <f t="shared" si="9"/>
        <v>100</v>
      </c>
      <c r="Y40" s="22">
        <f t="shared" si="2"/>
        <v>30</v>
      </c>
      <c r="Z40" s="28" t="str">
        <f t="shared" si="10"/>
        <v/>
      </c>
      <c r="AA40" s="22">
        <v>10</v>
      </c>
      <c r="AB40" s="22">
        <v>5</v>
      </c>
      <c r="AC40" s="22">
        <v>5</v>
      </c>
      <c r="AD40" s="22">
        <v>100</v>
      </c>
      <c r="AE40" s="22">
        <v>35</v>
      </c>
      <c r="AF40" s="22">
        <v>100</v>
      </c>
      <c r="AG40" s="22">
        <v>35</v>
      </c>
      <c r="AH40" s="22">
        <f t="shared" si="11"/>
        <v>5</v>
      </c>
      <c r="AI40" s="22">
        <v>5</v>
      </c>
      <c r="AJ40" s="22">
        <f t="shared" si="12"/>
        <v>100</v>
      </c>
      <c r="AK40" s="22">
        <f t="shared" si="3"/>
        <v>40</v>
      </c>
      <c r="AL40" s="28" t="str">
        <f t="shared" si="13"/>
        <v/>
      </c>
      <c r="AM40" s="22">
        <f t="shared" si="14"/>
        <v>100</v>
      </c>
      <c r="AN40" s="22" t="str">
        <f t="shared" si="15"/>
        <v>Aprobado</v>
      </c>
      <c r="AS40" s="34" t="str">
        <f t="shared" si="16"/>
        <v/>
      </c>
    </row>
    <row r="41" spans="1:45" ht="15" customHeight="1" x14ac:dyDescent="0.2">
      <c r="A41" s="19">
        <v>30</v>
      </c>
      <c r="B41" s="21"/>
      <c r="C41" s="22">
        <v>10</v>
      </c>
      <c r="D41" s="22">
        <v>5</v>
      </c>
      <c r="E41" s="22">
        <v>5</v>
      </c>
      <c r="F41" s="22">
        <v>100</v>
      </c>
      <c r="G41" s="22">
        <v>35</v>
      </c>
      <c r="H41" s="22">
        <v>100</v>
      </c>
      <c r="I41" s="22">
        <v>35</v>
      </c>
      <c r="J41" s="22">
        <f t="shared" si="6"/>
        <v>5</v>
      </c>
      <c r="K41" s="22">
        <v>5</v>
      </c>
      <c r="L41" s="22">
        <f t="shared" si="7"/>
        <v>100</v>
      </c>
      <c r="M41" s="22">
        <f t="shared" si="0"/>
        <v>30</v>
      </c>
      <c r="N41" s="28" t="str">
        <f t="shared" si="1"/>
        <v/>
      </c>
      <c r="O41" s="22">
        <v>10</v>
      </c>
      <c r="P41" s="22">
        <v>5</v>
      </c>
      <c r="Q41" s="22">
        <v>5</v>
      </c>
      <c r="R41" s="22">
        <v>100</v>
      </c>
      <c r="S41" s="22">
        <v>35</v>
      </c>
      <c r="T41" s="22">
        <v>100</v>
      </c>
      <c r="U41" s="22">
        <v>35</v>
      </c>
      <c r="V41" s="22">
        <f t="shared" si="8"/>
        <v>5</v>
      </c>
      <c r="W41" s="22">
        <v>5</v>
      </c>
      <c r="X41" s="22">
        <f t="shared" si="9"/>
        <v>100</v>
      </c>
      <c r="Y41" s="22">
        <f t="shared" si="2"/>
        <v>30</v>
      </c>
      <c r="Z41" s="28" t="str">
        <f t="shared" si="10"/>
        <v/>
      </c>
      <c r="AA41" s="22">
        <v>10</v>
      </c>
      <c r="AB41" s="22">
        <v>5</v>
      </c>
      <c r="AC41" s="22">
        <v>5</v>
      </c>
      <c r="AD41" s="22">
        <v>100</v>
      </c>
      <c r="AE41" s="22">
        <v>35</v>
      </c>
      <c r="AF41" s="22">
        <v>100</v>
      </c>
      <c r="AG41" s="22">
        <v>35</v>
      </c>
      <c r="AH41" s="22">
        <f t="shared" si="11"/>
        <v>5</v>
      </c>
      <c r="AI41" s="22">
        <v>5</v>
      </c>
      <c r="AJ41" s="22">
        <f t="shared" si="12"/>
        <v>100</v>
      </c>
      <c r="AK41" s="22">
        <f t="shared" si="3"/>
        <v>40</v>
      </c>
      <c r="AL41" s="28" t="str">
        <f t="shared" si="13"/>
        <v/>
      </c>
      <c r="AM41" s="22">
        <f t="shared" si="14"/>
        <v>100</v>
      </c>
      <c r="AN41" s="22" t="str">
        <f t="shared" si="15"/>
        <v>Aprobado</v>
      </c>
      <c r="AS41" s="34" t="str">
        <f t="shared" si="16"/>
        <v/>
      </c>
    </row>
    <row r="42" spans="1:45" ht="15" customHeight="1" x14ac:dyDescent="0.2">
      <c r="A42" s="19">
        <v>31</v>
      </c>
      <c r="B42" s="21"/>
      <c r="C42" s="22">
        <v>10</v>
      </c>
      <c r="D42" s="22">
        <v>5</v>
      </c>
      <c r="E42" s="22">
        <v>5</v>
      </c>
      <c r="F42" s="22">
        <v>100</v>
      </c>
      <c r="G42" s="22">
        <v>35</v>
      </c>
      <c r="H42" s="22">
        <v>100</v>
      </c>
      <c r="I42" s="22">
        <v>35</v>
      </c>
      <c r="J42" s="22">
        <f t="shared" si="6"/>
        <v>5</v>
      </c>
      <c r="K42" s="22">
        <v>5</v>
      </c>
      <c r="L42" s="22">
        <f t="shared" si="7"/>
        <v>100</v>
      </c>
      <c r="M42" s="22">
        <f t="shared" si="0"/>
        <v>30</v>
      </c>
      <c r="N42" s="28" t="str">
        <f t="shared" si="1"/>
        <v/>
      </c>
      <c r="O42" s="22">
        <v>10</v>
      </c>
      <c r="P42" s="22">
        <v>5</v>
      </c>
      <c r="Q42" s="22">
        <v>5</v>
      </c>
      <c r="R42" s="22">
        <v>100</v>
      </c>
      <c r="S42" s="22">
        <v>35</v>
      </c>
      <c r="T42" s="22">
        <v>100</v>
      </c>
      <c r="U42" s="22">
        <v>35</v>
      </c>
      <c r="V42" s="22">
        <f t="shared" si="8"/>
        <v>5</v>
      </c>
      <c r="W42" s="22">
        <v>5</v>
      </c>
      <c r="X42" s="22">
        <f t="shared" si="9"/>
        <v>100</v>
      </c>
      <c r="Y42" s="22">
        <f t="shared" si="2"/>
        <v>30</v>
      </c>
      <c r="Z42" s="28" t="str">
        <f>copyValue(N42)</f>
        <v/>
      </c>
      <c r="AA42" s="22">
        <v>10</v>
      </c>
      <c r="AB42" s="22">
        <v>5</v>
      </c>
      <c r="AC42" s="22">
        <v>5</v>
      </c>
      <c r="AD42" s="22">
        <v>100</v>
      </c>
      <c r="AE42" s="22">
        <v>35</v>
      </c>
      <c r="AF42" s="22">
        <v>100</v>
      </c>
      <c r="AG42" s="22">
        <v>35</v>
      </c>
      <c r="AH42" s="22">
        <f t="shared" si="11"/>
        <v>5</v>
      </c>
      <c r="AI42" s="22">
        <v>5</v>
      </c>
      <c r="AJ42" s="22">
        <f t="shared" si="12"/>
        <v>100</v>
      </c>
      <c r="AK42" s="22">
        <f t="shared" si="3"/>
        <v>40</v>
      </c>
      <c r="AL42" s="28" t="str">
        <f>copyValue(Z42)</f>
        <v/>
      </c>
      <c r="AM42" s="22">
        <f t="shared" si="14"/>
        <v>100</v>
      </c>
      <c r="AN42" s="22" t="str">
        <f t="shared" si="15"/>
        <v>Aprobado</v>
      </c>
      <c r="AS42" s="34" t="str">
        <f t="shared" si="16"/>
        <v/>
      </c>
    </row>
    <row r="43" spans="1:45" ht="15" customHeight="1" x14ac:dyDescent="0.2">
      <c r="A43" s="19">
        <v>32</v>
      </c>
      <c r="B43" s="21"/>
      <c r="C43" s="22">
        <v>10</v>
      </c>
      <c r="D43" s="22">
        <v>5</v>
      </c>
      <c r="E43" s="22">
        <v>5</v>
      </c>
      <c r="F43" s="22">
        <v>100</v>
      </c>
      <c r="G43" s="22">
        <v>35</v>
      </c>
      <c r="H43" s="22">
        <v>100</v>
      </c>
      <c r="I43" s="22">
        <v>35</v>
      </c>
      <c r="J43" s="22">
        <f t="shared" si="6"/>
        <v>5</v>
      </c>
      <c r="K43" s="22">
        <v>5</v>
      </c>
      <c r="L43" s="22">
        <f t="shared" si="7"/>
        <v>100</v>
      </c>
      <c r="M43" s="22">
        <f t="shared" si="0"/>
        <v>30</v>
      </c>
      <c r="N43" s="28" t="str">
        <f t="shared" si="1"/>
        <v/>
      </c>
      <c r="O43" s="22">
        <v>10</v>
      </c>
      <c r="P43" s="22">
        <v>5</v>
      </c>
      <c r="Q43" s="22">
        <v>5</v>
      </c>
      <c r="R43" s="22">
        <v>100</v>
      </c>
      <c r="S43" s="22">
        <v>35</v>
      </c>
      <c r="T43" s="22">
        <v>100</v>
      </c>
      <c r="U43" s="22">
        <v>35</v>
      </c>
      <c r="V43" s="22">
        <f t="shared" si="8"/>
        <v>5</v>
      </c>
      <c r="W43" s="22">
        <v>5</v>
      </c>
      <c r="X43" s="22">
        <f t="shared" si="9"/>
        <v>100</v>
      </c>
      <c r="Y43" s="22">
        <f t="shared" si="2"/>
        <v>30</v>
      </c>
      <c r="Z43" s="28" t="str">
        <f t="shared" si="10"/>
        <v/>
      </c>
      <c r="AA43" s="22">
        <v>10</v>
      </c>
      <c r="AB43" s="22">
        <v>5</v>
      </c>
      <c r="AC43" s="22">
        <v>5</v>
      </c>
      <c r="AD43" s="22">
        <v>100</v>
      </c>
      <c r="AE43" s="22">
        <v>35</v>
      </c>
      <c r="AF43" s="22">
        <v>100</v>
      </c>
      <c r="AG43" s="22">
        <v>35</v>
      </c>
      <c r="AH43" s="22">
        <f t="shared" si="11"/>
        <v>5</v>
      </c>
      <c r="AI43" s="22">
        <v>5</v>
      </c>
      <c r="AJ43" s="22">
        <f t="shared" si="12"/>
        <v>100</v>
      </c>
      <c r="AK43" s="22">
        <f t="shared" si="3"/>
        <v>40</v>
      </c>
      <c r="AL43" s="28" t="str">
        <f t="shared" si="13"/>
        <v/>
      </c>
      <c r="AM43" s="22">
        <f t="shared" si="14"/>
        <v>100</v>
      </c>
      <c r="AN43" s="22" t="str">
        <f t="shared" si="15"/>
        <v>Aprobado</v>
      </c>
      <c r="AS43" s="34" t="str">
        <f t="shared" si="16"/>
        <v/>
      </c>
    </row>
    <row r="44" spans="1:45" ht="15" customHeight="1" x14ac:dyDescent="0.2">
      <c r="A44" s="19">
        <v>33</v>
      </c>
      <c r="B44" s="21"/>
      <c r="C44" s="22">
        <v>10</v>
      </c>
      <c r="D44" s="22">
        <v>5</v>
      </c>
      <c r="E44" s="22">
        <v>5</v>
      </c>
      <c r="F44" s="22">
        <v>100</v>
      </c>
      <c r="G44" s="22">
        <v>35</v>
      </c>
      <c r="H44" s="22">
        <v>100</v>
      </c>
      <c r="I44" s="22">
        <v>35</v>
      </c>
      <c r="J44" s="22">
        <f t="shared" si="6"/>
        <v>5</v>
      </c>
      <c r="K44" s="22">
        <v>5</v>
      </c>
      <c r="L44" s="22">
        <f t="shared" si="7"/>
        <v>100</v>
      </c>
      <c r="M44" s="22">
        <f t="shared" si="0"/>
        <v>30</v>
      </c>
      <c r="N44" s="28" t="str">
        <f t="shared" si="1"/>
        <v/>
      </c>
      <c r="O44" s="22">
        <v>10</v>
      </c>
      <c r="P44" s="22">
        <v>5</v>
      </c>
      <c r="Q44" s="22">
        <v>5</v>
      </c>
      <c r="R44" s="22">
        <v>100</v>
      </c>
      <c r="S44" s="22">
        <v>35</v>
      </c>
      <c r="T44" s="22">
        <v>100</v>
      </c>
      <c r="U44" s="22">
        <v>35</v>
      </c>
      <c r="V44" s="22">
        <f t="shared" si="8"/>
        <v>5</v>
      </c>
      <c r="W44" s="22">
        <v>5</v>
      </c>
      <c r="X44" s="22">
        <f t="shared" si="9"/>
        <v>100</v>
      </c>
      <c r="Y44" s="22">
        <f t="shared" si="2"/>
        <v>30</v>
      </c>
      <c r="Z44" s="28" t="str">
        <f t="shared" si="10"/>
        <v/>
      </c>
      <c r="AA44" s="22">
        <v>10</v>
      </c>
      <c r="AB44" s="22">
        <v>5</v>
      </c>
      <c r="AC44" s="22">
        <v>5</v>
      </c>
      <c r="AD44" s="22">
        <v>100</v>
      </c>
      <c r="AE44" s="22">
        <v>35</v>
      </c>
      <c r="AF44" s="22">
        <v>100</v>
      </c>
      <c r="AG44" s="22">
        <v>35</v>
      </c>
      <c r="AH44" s="22">
        <f t="shared" si="11"/>
        <v>5</v>
      </c>
      <c r="AI44" s="22">
        <v>5</v>
      </c>
      <c r="AJ44" s="22">
        <f t="shared" si="12"/>
        <v>100</v>
      </c>
      <c r="AK44" s="22">
        <f t="shared" si="3"/>
        <v>40</v>
      </c>
      <c r="AL44" s="28" t="str">
        <f t="shared" si="13"/>
        <v/>
      </c>
      <c r="AM44" s="22">
        <f t="shared" si="14"/>
        <v>100</v>
      </c>
      <c r="AN44" s="22" t="str">
        <f t="shared" si="15"/>
        <v>Aprobado</v>
      </c>
      <c r="AS44" s="34" t="str">
        <f t="shared" si="16"/>
        <v/>
      </c>
    </row>
    <row r="45" spans="1:45" ht="15" customHeight="1" x14ac:dyDescent="0.2">
      <c r="A45" s="19">
        <v>34</v>
      </c>
      <c r="B45" s="21"/>
      <c r="C45" s="22">
        <v>10</v>
      </c>
      <c r="D45" s="22">
        <v>5</v>
      </c>
      <c r="E45" s="22">
        <v>5</v>
      </c>
      <c r="F45" s="22">
        <v>100</v>
      </c>
      <c r="G45" s="22">
        <v>35</v>
      </c>
      <c r="H45" s="22">
        <v>100</v>
      </c>
      <c r="I45" s="22">
        <v>35</v>
      </c>
      <c r="J45" s="22">
        <f t="shared" si="6"/>
        <v>5</v>
      </c>
      <c r="K45" s="22">
        <v>5</v>
      </c>
      <c r="L45" s="22">
        <f t="shared" si="7"/>
        <v>100</v>
      </c>
      <c r="M45" s="22">
        <f t="shared" si="0"/>
        <v>30</v>
      </c>
      <c r="N45" s="28" t="str">
        <f t="shared" si="1"/>
        <v/>
      </c>
      <c r="O45" s="22">
        <v>10</v>
      </c>
      <c r="P45" s="22">
        <v>5</v>
      </c>
      <c r="Q45" s="22">
        <v>5</v>
      </c>
      <c r="R45" s="22">
        <v>100</v>
      </c>
      <c r="S45" s="22">
        <v>35</v>
      </c>
      <c r="T45" s="22">
        <v>100</v>
      </c>
      <c r="U45" s="22">
        <v>35</v>
      </c>
      <c r="V45" s="22">
        <f t="shared" si="8"/>
        <v>5</v>
      </c>
      <c r="W45" s="22">
        <v>5</v>
      </c>
      <c r="X45" s="22">
        <f t="shared" si="9"/>
        <v>100</v>
      </c>
      <c r="Y45" s="22">
        <f t="shared" si="2"/>
        <v>30</v>
      </c>
      <c r="Z45" s="28" t="str">
        <f t="shared" si="10"/>
        <v/>
      </c>
      <c r="AA45" s="22">
        <v>10</v>
      </c>
      <c r="AB45" s="22">
        <v>5</v>
      </c>
      <c r="AC45" s="22">
        <v>5</v>
      </c>
      <c r="AD45" s="22">
        <v>100</v>
      </c>
      <c r="AE45" s="22">
        <v>35</v>
      </c>
      <c r="AF45" s="22">
        <v>100</v>
      </c>
      <c r="AG45" s="22">
        <v>35</v>
      </c>
      <c r="AH45" s="22">
        <f t="shared" si="11"/>
        <v>5</v>
      </c>
      <c r="AI45" s="22">
        <v>5</v>
      </c>
      <c r="AJ45" s="22">
        <f t="shared" si="12"/>
        <v>100</v>
      </c>
      <c r="AK45" s="22">
        <f t="shared" si="3"/>
        <v>40</v>
      </c>
      <c r="AL45" s="28" t="str">
        <f t="shared" si="13"/>
        <v/>
      </c>
      <c r="AM45" s="22">
        <f t="shared" si="14"/>
        <v>100</v>
      </c>
      <c r="AN45" s="22" t="str">
        <f t="shared" si="15"/>
        <v>Aprobado</v>
      </c>
      <c r="AS45" s="34" t="str">
        <f t="shared" si="16"/>
        <v/>
      </c>
    </row>
    <row r="46" spans="1:45" ht="15" customHeight="1" x14ac:dyDescent="0.2">
      <c r="A46" s="19">
        <v>35</v>
      </c>
      <c r="B46" s="21"/>
      <c r="C46" s="22">
        <v>10</v>
      </c>
      <c r="D46" s="22">
        <v>5</v>
      </c>
      <c r="E46" s="22">
        <v>5</v>
      </c>
      <c r="F46" s="22">
        <v>100</v>
      </c>
      <c r="G46" s="22">
        <v>35</v>
      </c>
      <c r="H46" s="22">
        <v>100</v>
      </c>
      <c r="I46" s="22">
        <v>35</v>
      </c>
      <c r="J46" s="22">
        <f t="shared" si="6"/>
        <v>5</v>
      </c>
      <c r="K46" s="22">
        <v>5</v>
      </c>
      <c r="L46" s="22">
        <f t="shared" si="7"/>
        <v>100</v>
      </c>
      <c r="M46" s="22">
        <f t="shared" si="0"/>
        <v>30</v>
      </c>
      <c r="N46" s="28" t="str">
        <f t="shared" si="1"/>
        <v/>
      </c>
      <c r="O46" s="22">
        <v>10</v>
      </c>
      <c r="P46" s="22">
        <v>5</v>
      </c>
      <c r="Q46" s="22">
        <v>5</v>
      </c>
      <c r="R46" s="22">
        <v>100</v>
      </c>
      <c r="S46" s="22">
        <v>35</v>
      </c>
      <c r="T46" s="22">
        <v>100</v>
      </c>
      <c r="U46" s="22">
        <v>35</v>
      </c>
      <c r="V46" s="22">
        <f t="shared" si="8"/>
        <v>5</v>
      </c>
      <c r="W46" s="22">
        <v>5</v>
      </c>
      <c r="X46" s="22">
        <f t="shared" si="9"/>
        <v>100</v>
      </c>
      <c r="Y46" s="22">
        <f t="shared" si="2"/>
        <v>30</v>
      </c>
      <c r="Z46" s="28" t="str">
        <f t="shared" si="10"/>
        <v/>
      </c>
      <c r="AA46" s="22">
        <v>10</v>
      </c>
      <c r="AB46" s="22">
        <v>5</v>
      </c>
      <c r="AC46" s="22">
        <v>5</v>
      </c>
      <c r="AD46" s="22">
        <v>100</v>
      </c>
      <c r="AE46" s="22">
        <v>35</v>
      </c>
      <c r="AF46" s="22">
        <v>100</v>
      </c>
      <c r="AG46" s="22">
        <v>35</v>
      </c>
      <c r="AH46" s="22">
        <f t="shared" si="11"/>
        <v>5</v>
      </c>
      <c r="AI46" s="22">
        <v>5</v>
      </c>
      <c r="AJ46" s="22">
        <f t="shared" si="12"/>
        <v>100</v>
      </c>
      <c r="AK46" s="22">
        <f t="shared" si="3"/>
        <v>40</v>
      </c>
      <c r="AL46" s="28" t="str">
        <f t="shared" si="13"/>
        <v/>
      </c>
      <c r="AM46" s="22">
        <f t="shared" si="14"/>
        <v>100</v>
      </c>
      <c r="AN46" s="22" t="str">
        <f t="shared" si="15"/>
        <v>Aprobado</v>
      </c>
      <c r="AS46" s="34" t="str">
        <f t="shared" si="16"/>
        <v/>
      </c>
    </row>
    <row r="47" spans="1:45" ht="15" customHeight="1" x14ac:dyDescent="0.2">
      <c r="A47" s="19">
        <v>36</v>
      </c>
      <c r="B47" s="21"/>
      <c r="C47" s="22">
        <v>10</v>
      </c>
      <c r="D47" s="22">
        <v>5</v>
      </c>
      <c r="E47" s="22">
        <v>5</v>
      </c>
      <c r="F47" s="22">
        <v>100</v>
      </c>
      <c r="G47" s="22">
        <v>35</v>
      </c>
      <c r="H47" s="22">
        <v>100</v>
      </c>
      <c r="I47" s="22">
        <v>35</v>
      </c>
      <c r="J47" s="22">
        <f t="shared" si="6"/>
        <v>5</v>
      </c>
      <c r="K47" s="22">
        <v>5</v>
      </c>
      <c r="L47" s="22">
        <f t="shared" si="7"/>
        <v>100</v>
      </c>
      <c r="M47" s="22">
        <f t="shared" si="0"/>
        <v>30</v>
      </c>
      <c r="N47" s="28" t="str">
        <f t="shared" si="1"/>
        <v/>
      </c>
      <c r="O47" s="22">
        <v>10</v>
      </c>
      <c r="P47" s="22">
        <v>5</v>
      </c>
      <c r="Q47" s="22">
        <v>5</v>
      </c>
      <c r="R47" s="22">
        <v>100</v>
      </c>
      <c r="S47" s="22">
        <v>35</v>
      </c>
      <c r="T47" s="22">
        <v>100</v>
      </c>
      <c r="U47" s="22">
        <v>35</v>
      </c>
      <c r="V47" s="22">
        <f t="shared" si="8"/>
        <v>5</v>
      </c>
      <c r="W47" s="22">
        <v>5</v>
      </c>
      <c r="X47" s="22">
        <f t="shared" si="9"/>
        <v>100</v>
      </c>
      <c r="Y47" s="22">
        <f t="shared" si="2"/>
        <v>30</v>
      </c>
      <c r="Z47" s="28" t="str">
        <f t="shared" si="10"/>
        <v/>
      </c>
      <c r="AA47" s="22">
        <v>10</v>
      </c>
      <c r="AB47" s="22">
        <v>5</v>
      </c>
      <c r="AC47" s="22">
        <v>5</v>
      </c>
      <c r="AD47" s="22">
        <v>100</v>
      </c>
      <c r="AE47" s="22">
        <v>35</v>
      </c>
      <c r="AF47" s="22">
        <v>100</v>
      </c>
      <c r="AG47" s="22">
        <v>35</v>
      </c>
      <c r="AH47" s="22">
        <f t="shared" si="11"/>
        <v>5</v>
      </c>
      <c r="AI47" s="22">
        <v>5</v>
      </c>
      <c r="AJ47" s="22">
        <f t="shared" si="12"/>
        <v>100</v>
      </c>
      <c r="AK47" s="22">
        <f t="shared" si="3"/>
        <v>40</v>
      </c>
      <c r="AL47" s="28" t="str">
        <f t="shared" si="13"/>
        <v/>
      </c>
      <c r="AM47" s="22">
        <f t="shared" si="14"/>
        <v>100</v>
      </c>
      <c r="AN47" s="22" t="str">
        <f t="shared" si="15"/>
        <v>Aprobado</v>
      </c>
      <c r="AS47" s="34" t="str">
        <f t="shared" si="16"/>
        <v/>
      </c>
    </row>
    <row r="48" spans="1:45" ht="15" customHeight="1" x14ac:dyDescent="0.2">
      <c r="A48" s="19">
        <v>37</v>
      </c>
      <c r="B48" s="21"/>
      <c r="C48" s="22">
        <v>10</v>
      </c>
      <c r="D48" s="22">
        <v>5</v>
      </c>
      <c r="E48" s="22">
        <v>5</v>
      </c>
      <c r="F48" s="22">
        <v>100</v>
      </c>
      <c r="G48" s="22">
        <v>35</v>
      </c>
      <c r="H48" s="22">
        <v>100</v>
      </c>
      <c r="I48" s="22">
        <v>35</v>
      </c>
      <c r="J48" s="22">
        <f t="shared" si="6"/>
        <v>5</v>
      </c>
      <c r="K48" s="22">
        <v>5</v>
      </c>
      <c r="L48" s="22">
        <f t="shared" si="7"/>
        <v>100</v>
      </c>
      <c r="M48" s="22">
        <f t="shared" si="0"/>
        <v>30</v>
      </c>
      <c r="N48" s="28" t="str">
        <f t="shared" si="1"/>
        <v/>
      </c>
      <c r="O48" s="22">
        <v>10</v>
      </c>
      <c r="P48" s="22">
        <v>5</v>
      </c>
      <c r="Q48" s="22">
        <v>5</v>
      </c>
      <c r="R48" s="22">
        <v>100</v>
      </c>
      <c r="S48" s="22">
        <v>35</v>
      </c>
      <c r="T48" s="22">
        <v>100</v>
      </c>
      <c r="U48" s="22">
        <v>35</v>
      </c>
      <c r="V48" s="22">
        <f t="shared" si="8"/>
        <v>5</v>
      </c>
      <c r="W48" s="22">
        <v>5</v>
      </c>
      <c r="X48" s="22">
        <f t="shared" si="9"/>
        <v>100</v>
      </c>
      <c r="Y48" s="22">
        <f t="shared" si="2"/>
        <v>30</v>
      </c>
      <c r="Z48" s="28" t="str">
        <f t="shared" si="10"/>
        <v/>
      </c>
      <c r="AA48" s="22">
        <v>10</v>
      </c>
      <c r="AB48" s="22">
        <v>5</v>
      </c>
      <c r="AC48" s="22">
        <v>5</v>
      </c>
      <c r="AD48" s="22">
        <v>100</v>
      </c>
      <c r="AE48" s="22">
        <v>35</v>
      </c>
      <c r="AF48" s="22">
        <v>100</v>
      </c>
      <c r="AG48" s="22">
        <v>35</v>
      </c>
      <c r="AH48" s="22">
        <f t="shared" si="11"/>
        <v>5</v>
      </c>
      <c r="AI48" s="22">
        <v>5</v>
      </c>
      <c r="AJ48" s="22">
        <f t="shared" si="12"/>
        <v>100</v>
      </c>
      <c r="AK48" s="22">
        <f t="shared" si="3"/>
        <v>40</v>
      </c>
      <c r="AL48" s="28" t="str">
        <f t="shared" si="13"/>
        <v/>
      </c>
      <c r="AM48" s="22">
        <f t="shared" si="14"/>
        <v>100</v>
      </c>
      <c r="AN48" s="22" t="str">
        <f t="shared" si="15"/>
        <v>Aprobado</v>
      </c>
      <c r="AS48" s="34" t="str">
        <f t="shared" si="16"/>
        <v/>
      </c>
    </row>
    <row r="49" spans="1:45" ht="15" customHeight="1" x14ac:dyDescent="0.2">
      <c r="A49" s="19">
        <v>38</v>
      </c>
      <c r="B49" s="23"/>
      <c r="C49" s="24">
        <v>10</v>
      </c>
      <c r="D49" s="24">
        <v>5</v>
      </c>
      <c r="E49" s="24">
        <v>5</v>
      </c>
      <c r="F49" s="24">
        <v>100</v>
      </c>
      <c r="G49" s="24">
        <v>35</v>
      </c>
      <c r="H49" s="24">
        <v>100</v>
      </c>
      <c r="I49" s="24">
        <v>35</v>
      </c>
      <c r="J49" s="24"/>
      <c r="K49" s="24">
        <v>5</v>
      </c>
      <c r="L49" s="24">
        <f t="shared" si="7"/>
        <v>95</v>
      </c>
      <c r="M49" s="24">
        <f t="shared" si="0"/>
        <v>28.5</v>
      </c>
      <c r="N49" s="28" t="str">
        <f t="shared" si="1"/>
        <v/>
      </c>
      <c r="O49" s="24">
        <v>10</v>
      </c>
      <c r="P49" s="24">
        <v>5</v>
      </c>
      <c r="Q49" s="24">
        <v>5</v>
      </c>
      <c r="R49" s="24">
        <v>100</v>
      </c>
      <c r="S49" s="24">
        <v>35</v>
      </c>
      <c r="T49" s="24">
        <v>100</v>
      </c>
      <c r="U49" s="24">
        <v>35</v>
      </c>
      <c r="V49" s="24">
        <f t="shared" si="8"/>
        <v>5</v>
      </c>
      <c r="W49" s="24">
        <v>5</v>
      </c>
      <c r="X49" s="24">
        <f t="shared" si="9"/>
        <v>100</v>
      </c>
      <c r="Y49" s="24">
        <f t="shared" si="2"/>
        <v>30</v>
      </c>
      <c r="Z49" s="28" t="str">
        <f t="shared" si="10"/>
        <v/>
      </c>
      <c r="AA49" s="24">
        <v>10</v>
      </c>
      <c r="AB49" s="24">
        <v>5</v>
      </c>
      <c r="AC49" s="24">
        <v>5</v>
      </c>
      <c r="AD49" s="24">
        <v>100</v>
      </c>
      <c r="AE49" s="24">
        <v>35</v>
      </c>
      <c r="AF49" s="24">
        <v>100</v>
      </c>
      <c r="AG49" s="24">
        <v>35</v>
      </c>
      <c r="AH49" s="24">
        <f t="shared" si="11"/>
        <v>5</v>
      </c>
      <c r="AI49" s="24">
        <v>5</v>
      </c>
      <c r="AJ49" s="24">
        <f t="shared" si="12"/>
        <v>100</v>
      </c>
      <c r="AK49" s="24">
        <f t="shared" si="3"/>
        <v>40</v>
      </c>
      <c r="AL49" s="28" t="str">
        <f t="shared" si="13"/>
        <v/>
      </c>
      <c r="AM49" s="24">
        <f t="shared" si="14"/>
        <v>98.5</v>
      </c>
      <c r="AN49" s="24" t="str">
        <f t="shared" si="15"/>
        <v>Aprobado</v>
      </c>
      <c r="AS49" s="34" t="str">
        <f t="shared" si="16"/>
        <v/>
      </c>
    </row>
    <row r="50" spans="1:45" ht="12.75" customHeight="1" x14ac:dyDescent="0.2">
      <c r="A50" s="25"/>
      <c r="B50" s="25"/>
      <c r="AL50" s="7"/>
      <c r="AO50" s="18"/>
      <c r="AS50" s="34" t="str">
        <f t="shared" si="16"/>
        <v/>
      </c>
    </row>
    <row r="51" spans="1:45" ht="16.5" customHeight="1" x14ac:dyDescent="0.2">
      <c r="A51" s="25"/>
      <c r="B51" s="25"/>
      <c r="AO51" s="18"/>
    </row>
    <row r="52" spans="1:45" ht="25.5" customHeight="1" x14ac:dyDescent="0.2"/>
    <row r="53" spans="1:45" ht="12.75" x14ac:dyDescent="0.2"/>
    <row r="54" spans="1:45" ht="12.75" x14ac:dyDescent="0.2"/>
    <row r="55" spans="1:45" ht="12.75" x14ac:dyDescent="0.2"/>
    <row r="57" spans="1:45" ht="15.75" customHeight="1" x14ac:dyDescent="0.2">
      <c r="C57" s="34"/>
    </row>
  </sheetData>
  <mergeCells count="18">
    <mergeCell ref="AS9:AU9"/>
    <mergeCell ref="AA8:AK8"/>
    <mergeCell ref="AB9:AC9"/>
    <mergeCell ref="AH9:AK9"/>
    <mergeCell ref="AD9:AG9"/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2016-01-07T22:31:35Z</dcterms:modified>
</cp:coreProperties>
</file>