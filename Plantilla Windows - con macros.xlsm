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H11" i="1" l="1"/>
  <c r="I11" i="1"/>
  <c r="J11" i="1"/>
  <c r="K11" i="1" s="1"/>
  <c r="AM13" i="1"/>
  <c r="AM21" i="1"/>
  <c r="AM29" i="1"/>
  <c r="AM37" i="1"/>
  <c r="AM45" i="1"/>
  <c r="AM16" i="1"/>
  <c r="AM24" i="1"/>
  <c r="AM32" i="1"/>
  <c r="AM40" i="1"/>
  <c r="AM15" i="1"/>
  <c r="AM23" i="1"/>
  <c r="AM31" i="1"/>
  <c r="AM39" i="1"/>
  <c r="AM47" i="1"/>
  <c r="AM18" i="1"/>
  <c r="AM26" i="1"/>
  <c r="AM34" i="1"/>
  <c r="AM46" i="1"/>
  <c r="AM44" i="1"/>
  <c r="AB49" i="1"/>
  <c r="AB45" i="1"/>
  <c r="AB41" i="1"/>
  <c r="AB37" i="1"/>
  <c r="AB33" i="1"/>
  <c r="AB29" i="1"/>
  <c r="AB25" i="1"/>
  <c r="AB21" i="1"/>
  <c r="AB17" i="1"/>
  <c r="AB13" i="1"/>
  <c r="AB48" i="1"/>
  <c r="AB44" i="1"/>
  <c r="AB40" i="1"/>
  <c r="AB36" i="1"/>
  <c r="AB32" i="1"/>
  <c r="AB28" i="1"/>
  <c r="AB24" i="1"/>
  <c r="AB20" i="1"/>
  <c r="AB16" i="1"/>
  <c r="AB11" i="1"/>
  <c r="R37" i="1"/>
  <c r="R23" i="1"/>
  <c r="R15" i="1"/>
  <c r="R46" i="1"/>
  <c r="R42" i="1"/>
  <c r="R38" i="1"/>
  <c r="R34" i="1"/>
  <c r="R30" i="1"/>
  <c r="R26" i="1"/>
  <c r="R22" i="1"/>
  <c r="R18" i="1"/>
  <c r="R14" i="1"/>
  <c r="R47" i="1"/>
  <c r="R43" i="1"/>
  <c r="R39" i="1"/>
  <c r="R33" i="1"/>
  <c r="R27" i="1"/>
  <c r="R21" i="1"/>
  <c r="R13" i="1"/>
  <c r="H49" i="1"/>
  <c r="H41" i="1"/>
  <c r="H33" i="1"/>
  <c r="H25" i="1"/>
  <c r="H17" i="1"/>
  <c r="H46" i="1"/>
  <c r="H38" i="1"/>
  <c r="H30" i="1"/>
  <c r="H22" i="1"/>
  <c r="H14" i="1"/>
  <c r="H43" i="1"/>
  <c r="H35" i="1"/>
  <c r="H27" i="1"/>
  <c r="H19" i="1"/>
  <c r="H48" i="1"/>
  <c r="H40" i="1"/>
  <c r="H32" i="1"/>
  <c r="H24" i="1"/>
  <c r="H16" i="1"/>
  <c r="AB23" i="1"/>
  <c r="AB12" i="1"/>
  <c r="AB42" i="1"/>
  <c r="AB34" i="1"/>
  <c r="AB26" i="1"/>
  <c r="AB18" i="1"/>
  <c r="R49" i="1"/>
  <c r="R29" i="1"/>
  <c r="R48" i="1"/>
  <c r="R40" i="1"/>
  <c r="R32" i="1"/>
  <c r="R24" i="1"/>
  <c r="R20" i="1"/>
  <c r="R12" i="1"/>
  <c r="R41" i="1"/>
  <c r="R31" i="1"/>
  <c r="R17" i="1"/>
  <c r="H45" i="1"/>
  <c r="H37" i="1"/>
  <c r="H21" i="1"/>
  <c r="H42" i="1"/>
  <c r="H26" i="1"/>
  <c r="H18" i="1"/>
  <c r="H39" i="1"/>
  <c r="H23" i="1"/>
  <c r="H44" i="1"/>
  <c r="H28" i="1"/>
  <c r="AM17" i="1"/>
  <c r="AM25" i="1"/>
  <c r="AM33" i="1"/>
  <c r="AM41" i="1"/>
  <c r="AM49" i="1"/>
  <c r="AM20" i="1"/>
  <c r="AM28" i="1"/>
  <c r="AM36" i="1"/>
  <c r="AM48" i="1"/>
  <c r="AM19" i="1"/>
  <c r="AM27" i="1"/>
  <c r="AM35" i="1"/>
  <c r="AM43" i="1"/>
  <c r="AM14" i="1"/>
  <c r="AM22" i="1"/>
  <c r="AM30" i="1"/>
  <c r="AM42" i="1"/>
  <c r="AM50" i="1"/>
  <c r="AM12" i="1"/>
  <c r="AB47" i="1"/>
  <c r="AB43" i="1"/>
  <c r="AB39" i="1"/>
  <c r="AB35" i="1"/>
  <c r="AB31" i="1"/>
  <c r="AB27" i="1"/>
  <c r="AB19" i="1"/>
  <c r="AB15" i="1"/>
  <c r="AB46" i="1"/>
  <c r="AB38" i="1"/>
  <c r="AB30" i="1"/>
  <c r="AB22" i="1"/>
  <c r="AB14" i="1"/>
  <c r="R19" i="1"/>
  <c r="R44" i="1"/>
  <c r="R36" i="1"/>
  <c r="R28" i="1"/>
  <c r="R16" i="1"/>
  <c r="R45" i="1"/>
  <c r="R35" i="1"/>
  <c r="R25" i="1"/>
  <c r="R11" i="1"/>
  <c r="H29" i="1"/>
  <c r="H13" i="1"/>
  <c r="H34" i="1"/>
  <c r="H47" i="1"/>
  <c r="H31" i="1"/>
  <c r="H15" i="1"/>
  <c r="H36" i="1"/>
  <c r="H20" i="1"/>
  <c r="H12" i="1"/>
  <c r="AM38" i="1"/>
  <c r="J12" i="1" l="1"/>
  <c r="K12" i="1" s="1"/>
  <c r="AD13" i="1"/>
  <c r="AE13" i="1" s="1"/>
  <c r="AD14" i="1"/>
  <c r="AE14" i="1" s="1"/>
  <c r="AD15" i="1"/>
  <c r="AE15" i="1" s="1"/>
  <c r="AD16" i="1"/>
  <c r="AE16" i="1" s="1"/>
  <c r="AD17" i="1"/>
  <c r="AE17" i="1" s="1"/>
  <c r="AD18" i="1"/>
  <c r="AE18" i="1" s="1"/>
  <c r="AD19" i="1"/>
  <c r="AE19" i="1" s="1"/>
  <c r="AD20" i="1"/>
  <c r="AE20" i="1" s="1"/>
  <c r="AD21" i="1"/>
  <c r="AE21" i="1" s="1"/>
  <c r="AD22" i="1"/>
  <c r="AE22" i="1" s="1"/>
  <c r="AD23" i="1"/>
  <c r="AE23" i="1" s="1"/>
  <c r="AD24" i="1"/>
  <c r="AE24" i="1" s="1"/>
  <c r="AD25" i="1"/>
  <c r="AE25" i="1" s="1"/>
  <c r="AD26" i="1"/>
  <c r="AE26" i="1" s="1"/>
  <c r="AD27" i="1"/>
  <c r="AE27" i="1" s="1"/>
  <c r="AD28" i="1"/>
  <c r="AE28" i="1" s="1"/>
  <c r="AD29" i="1"/>
  <c r="AE29" i="1" s="1"/>
  <c r="AD30" i="1"/>
  <c r="AE30" i="1" s="1"/>
  <c r="AD31" i="1"/>
  <c r="AE31" i="1" s="1"/>
  <c r="AD32" i="1"/>
  <c r="AE32" i="1" s="1"/>
  <c r="AD33" i="1"/>
  <c r="AE33" i="1" s="1"/>
  <c r="AD34" i="1"/>
  <c r="AE34" i="1" s="1"/>
  <c r="AD35" i="1"/>
  <c r="AE35" i="1" s="1"/>
  <c r="AD36" i="1"/>
  <c r="AE36" i="1" s="1"/>
  <c r="AD37" i="1"/>
  <c r="AE37" i="1" s="1"/>
  <c r="AD38" i="1"/>
  <c r="AE38" i="1" s="1"/>
  <c r="AD39" i="1"/>
  <c r="AE39" i="1" s="1"/>
  <c r="AD40" i="1"/>
  <c r="AE40" i="1" s="1"/>
  <c r="AD41" i="1"/>
  <c r="AE41" i="1" s="1"/>
  <c r="AD42" i="1"/>
  <c r="AE42" i="1" s="1"/>
  <c r="AD43" i="1"/>
  <c r="AE43" i="1" s="1"/>
  <c r="AD44" i="1"/>
  <c r="AE44" i="1" s="1"/>
  <c r="AD45" i="1"/>
  <c r="AE45" i="1" s="1"/>
  <c r="AD46" i="1"/>
  <c r="AE46" i="1" s="1"/>
  <c r="AD47" i="1"/>
  <c r="AE47" i="1" s="1"/>
  <c r="AD48" i="1"/>
  <c r="AE48" i="1" s="1"/>
  <c r="AD49" i="1"/>
  <c r="AE49" i="1" s="1"/>
  <c r="AD12" i="1"/>
  <c r="AE12" i="1" s="1"/>
  <c r="L11" i="1"/>
  <c r="J13" i="1" l="1"/>
  <c r="K13" i="1" s="1"/>
  <c r="T13" i="1"/>
  <c r="U13" i="1" s="1"/>
  <c r="V11" i="1"/>
  <c r="L44" i="1"/>
  <c r="L48" i="1"/>
  <c r="L45" i="1"/>
  <c r="L49" i="1"/>
  <c r="L30" i="1"/>
  <c r="L34" i="1"/>
  <c r="L38" i="1"/>
  <c r="L29" i="1"/>
  <c r="L33" i="1"/>
  <c r="L39" i="1"/>
  <c r="L13" i="1"/>
  <c r="L17" i="1"/>
  <c r="L21" i="1"/>
  <c r="L25" i="1"/>
  <c r="L14" i="1"/>
  <c r="L18" i="1"/>
  <c r="L22" i="1"/>
  <c r="L26" i="1"/>
  <c r="L23" i="1"/>
  <c r="L16" i="1"/>
  <c r="L24" i="1"/>
  <c r="L42" i="1"/>
  <c r="L46" i="1"/>
  <c r="L43" i="1"/>
  <c r="L47" i="1"/>
  <c r="L28" i="1"/>
  <c r="L32" i="1"/>
  <c r="L36" i="1"/>
  <c r="L40" i="1"/>
  <c r="L31" i="1"/>
  <c r="L35" i="1"/>
  <c r="L41" i="1"/>
  <c r="L15" i="1"/>
  <c r="L19" i="1"/>
  <c r="L27" i="1"/>
  <c r="L20" i="1"/>
  <c r="L12" i="1"/>
  <c r="L37" i="1"/>
  <c r="AG13" i="1" l="1"/>
  <c r="AH13" i="1" s="1"/>
  <c r="J14" i="1"/>
  <c r="K14" i="1" s="1"/>
  <c r="T14" i="1"/>
  <c r="U14" i="1" s="1"/>
  <c r="V12" i="1"/>
  <c r="V27" i="1"/>
  <c r="V15" i="1"/>
  <c r="V35" i="1"/>
  <c r="V40" i="1"/>
  <c r="V32" i="1"/>
  <c r="V47" i="1"/>
  <c r="V46" i="1"/>
  <c r="V24" i="1"/>
  <c r="V23" i="1"/>
  <c r="V22" i="1"/>
  <c r="V14" i="1"/>
  <c r="V21" i="1"/>
  <c r="V13" i="1"/>
  <c r="V33" i="1"/>
  <c r="V38" i="1"/>
  <c r="V30" i="1"/>
  <c r="V45" i="1"/>
  <c r="V44" i="1"/>
  <c r="V20" i="1"/>
  <c r="V19" i="1"/>
  <c r="V41" i="1"/>
  <c r="V31" i="1"/>
  <c r="V36" i="1"/>
  <c r="V28" i="1"/>
  <c r="V43" i="1"/>
  <c r="V42" i="1"/>
  <c r="V16" i="1"/>
  <c r="V26" i="1"/>
  <c r="V18" i="1"/>
  <c r="V25" i="1"/>
  <c r="V17" i="1"/>
  <c r="V39" i="1"/>
  <c r="V29" i="1"/>
  <c r="V34" i="1"/>
  <c r="V49" i="1"/>
  <c r="V48" i="1"/>
  <c r="AF11" i="1"/>
  <c r="V37" i="1"/>
  <c r="AG14" i="1" l="1"/>
  <c r="AH14" i="1" s="1"/>
  <c r="J15" i="1"/>
  <c r="K15" i="1" s="1"/>
  <c r="T15" i="1"/>
  <c r="U15" i="1" s="1"/>
  <c r="AF48" i="1"/>
  <c r="AF34" i="1"/>
  <c r="AF39" i="1"/>
  <c r="AF25" i="1"/>
  <c r="AF26" i="1"/>
  <c r="AF42" i="1"/>
  <c r="AF28" i="1"/>
  <c r="AF31" i="1"/>
  <c r="AF19" i="1"/>
  <c r="AF44" i="1"/>
  <c r="AF30" i="1"/>
  <c r="AF33" i="1"/>
  <c r="AF21" i="1"/>
  <c r="AF22" i="1"/>
  <c r="AF24" i="1"/>
  <c r="AF47" i="1"/>
  <c r="AF40" i="1"/>
  <c r="AF15" i="1"/>
  <c r="AF12" i="1"/>
  <c r="AF49" i="1"/>
  <c r="AF29" i="1"/>
  <c r="AF17" i="1"/>
  <c r="AF18" i="1"/>
  <c r="AF16" i="1"/>
  <c r="AF43" i="1"/>
  <c r="AF36" i="1"/>
  <c r="AF41" i="1"/>
  <c r="AF20" i="1"/>
  <c r="AF45" i="1"/>
  <c r="AF38" i="1"/>
  <c r="AF13" i="1"/>
  <c r="AF14" i="1"/>
  <c r="AF23" i="1"/>
  <c r="AF46" i="1"/>
  <c r="AF32" i="1"/>
  <c r="AF35" i="1"/>
  <c r="AF27" i="1"/>
  <c r="AF37" i="1"/>
  <c r="AG15" i="1" l="1"/>
  <c r="AH15" i="1" s="1"/>
  <c r="J16" i="1"/>
  <c r="K16" i="1" s="1"/>
  <c r="T16" i="1"/>
  <c r="U16" i="1" s="1"/>
  <c r="AG16" i="1" l="1"/>
  <c r="AH16" i="1" s="1"/>
  <c r="J17" i="1"/>
  <c r="K17" i="1" s="1"/>
  <c r="T17" i="1"/>
  <c r="U17" i="1" s="1"/>
  <c r="AG17" i="1" l="1"/>
  <c r="AH17" i="1" s="1"/>
  <c r="J18" i="1"/>
  <c r="K18" i="1" s="1"/>
  <c r="T18" i="1"/>
  <c r="U18" i="1" s="1"/>
  <c r="AG18" i="1" l="1"/>
  <c r="AH18" i="1" s="1"/>
  <c r="J19" i="1"/>
  <c r="K19" i="1" s="1"/>
  <c r="T19" i="1"/>
  <c r="U19" i="1" s="1"/>
  <c r="AG19" i="1" l="1"/>
  <c r="AH19" i="1" s="1"/>
  <c r="J20" i="1"/>
  <c r="K20" i="1" s="1"/>
  <c r="T20" i="1"/>
  <c r="U20" i="1" s="1"/>
  <c r="AG20" i="1" l="1"/>
  <c r="AH20" i="1" s="1"/>
  <c r="J21" i="1"/>
  <c r="K21" i="1" s="1"/>
  <c r="T21" i="1"/>
  <c r="U21" i="1" s="1"/>
  <c r="AG21" i="1" l="1"/>
  <c r="AH21" i="1" s="1"/>
  <c r="J22" i="1"/>
  <c r="K22" i="1" s="1"/>
  <c r="T22" i="1"/>
  <c r="U22" i="1" s="1"/>
  <c r="AG22" i="1" l="1"/>
  <c r="AH22" i="1" s="1"/>
  <c r="J23" i="1"/>
  <c r="K23" i="1" s="1"/>
  <c r="T23" i="1"/>
  <c r="U23" i="1" s="1"/>
  <c r="AG23" i="1" l="1"/>
  <c r="AH23" i="1" s="1"/>
  <c r="J24" i="1"/>
  <c r="K24" i="1" s="1"/>
  <c r="T24" i="1"/>
  <c r="U24" i="1" s="1"/>
  <c r="AG24" i="1" l="1"/>
  <c r="AH24" i="1" s="1"/>
  <c r="J25" i="1"/>
  <c r="K25" i="1" s="1"/>
  <c r="T25" i="1"/>
  <c r="U25" i="1" s="1"/>
  <c r="AG25" i="1" l="1"/>
  <c r="AH25" i="1" s="1"/>
  <c r="J26" i="1"/>
  <c r="K26" i="1" s="1"/>
  <c r="T26" i="1"/>
  <c r="U26" i="1" s="1"/>
  <c r="AG26" i="1" l="1"/>
  <c r="AH26" i="1" s="1"/>
  <c r="J27" i="1"/>
  <c r="K27" i="1" s="1"/>
  <c r="T27" i="1"/>
  <c r="U27" i="1" s="1"/>
  <c r="AG27" i="1" l="1"/>
  <c r="AH27" i="1" s="1"/>
  <c r="J28" i="1"/>
  <c r="K28" i="1" s="1"/>
  <c r="T28" i="1"/>
  <c r="U28" i="1" s="1"/>
  <c r="AG28" i="1" l="1"/>
  <c r="AH28" i="1" s="1"/>
  <c r="J29" i="1"/>
  <c r="K29" i="1" s="1"/>
  <c r="T29" i="1"/>
  <c r="U29" i="1" s="1"/>
  <c r="AG29" i="1" l="1"/>
  <c r="AH29" i="1" s="1"/>
  <c r="J30" i="1"/>
  <c r="K30" i="1" s="1"/>
  <c r="T30" i="1"/>
  <c r="U30" i="1" s="1"/>
  <c r="AG30" i="1" l="1"/>
  <c r="AH30" i="1" s="1"/>
  <c r="J31" i="1"/>
  <c r="K31" i="1" s="1"/>
  <c r="T31" i="1"/>
  <c r="U31" i="1" s="1"/>
  <c r="AG31" i="1" l="1"/>
  <c r="AH31" i="1" s="1"/>
  <c r="J32" i="1"/>
  <c r="K32" i="1" s="1"/>
  <c r="T32" i="1"/>
  <c r="U32" i="1" s="1"/>
  <c r="AG32" i="1" l="1"/>
  <c r="AH32" i="1" s="1"/>
  <c r="J33" i="1"/>
  <c r="K33" i="1" s="1"/>
  <c r="T33" i="1"/>
  <c r="U33" i="1" s="1"/>
  <c r="AG33" i="1" l="1"/>
  <c r="AH33" i="1" s="1"/>
  <c r="J34" i="1"/>
  <c r="K34" i="1" s="1"/>
  <c r="T34" i="1"/>
  <c r="U34" i="1" s="1"/>
  <c r="AG34" i="1" l="1"/>
  <c r="AH34" i="1" s="1"/>
  <c r="J35" i="1"/>
  <c r="K35" i="1" s="1"/>
  <c r="T35" i="1"/>
  <c r="U35" i="1" s="1"/>
  <c r="AG35" i="1" l="1"/>
  <c r="AH35" i="1" s="1"/>
  <c r="J36" i="1"/>
  <c r="K36" i="1" s="1"/>
  <c r="T36" i="1"/>
  <c r="U36" i="1" s="1"/>
  <c r="AG36" i="1" l="1"/>
  <c r="AH36" i="1" s="1"/>
  <c r="J37" i="1"/>
  <c r="K37" i="1" s="1"/>
  <c r="T37" i="1"/>
  <c r="U37" i="1" s="1"/>
  <c r="AG37" i="1" l="1"/>
  <c r="AH37" i="1" s="1"/>
  <c r="J38" i="1"/>
  <c r="K38" i="1" s="1"/>
  <c r="T38" i="1"/>
  <c r="U38" i="1" s="1"/>
  <c r="AG38" i="1" l="1"/>
  <c r="AH38" i="1" s="1"/>
  <c r="J39" i="1"/>
  <c r="K39" i="1" s="1"/>
  <c r="T39" i="1"/>
  <c r="U39" i="1" s="1"/>
  <c r="AG39" i="1" l="1"/>
  <c r="AH39" i="1" s="1"/>
  <c r="J40" i="1"/>
  <c r="K40" i="1" s="1"/>
  <c r="T40" i="1"/>
  <c r="U40" i="1" s="1"/>
  <c r="AG40" i="1" l="1"/>
  <c r="AH40" i="1" s="1"/>
  <c r="J41" i="1"/>
  <c r="K41" i="1" s="1"/>
  <c r="T41" i="1"/>
  <c r="U41" i="1" s="1"/>
  <c r="AG41" i="1" l="1"/>
  <c r="AH41" i="1" s="1"/>
  <c r="J42" i="1"/>
  <c r="K42" i="1" s="1"/>
  <c r="T42" i="1"/>
  <c r="U42" i="1" s="1"/>
  <c r="AG42" i="1" l="1"/>
  <c r="AH42" i="1" s="1"/>
  <c r="J43" i="1"/>
  <c r="K43" i="1" s="1"/>
  <c r="T43" i="1"/>
  <c r="U43" i="1" s="1"/>
  <c r="AG43" i="1" l="1"/>
  <c r="AH43" i="1" s="1"/>
  <c r="J44" i="1"/>
  <c r="K44" i="1" s="1"/>
  <c r="T44" i="1"/>
  <c r="U44" i="1" s="1"/>
  <c r="AG44" i="1" l="1"/>
  <c r="AH44" i="1" s="1"/>
  <c r="J45" i="1"/>
  <c r="K45" i="1" s="1"/>
  <c r="T45" i="1"/>
  <c r="U45" i="1" s="1"/>
  <c r="AG45" i="1" l="1"/>
  <c r="AH45" i="1" s="1"/>
  <c r="J46" i="1"/>
  <c r="K46" i="1" s="1"/>
  <c r="T46" i="1"/>
  <c r="U46" i="1" s="1"/>
  <c r="AG46" i="1" l="1"/>
  <c r="AH46" i="1" s="1"/>
  <c r="J47" i="1"/>
  <c r="K47" i="1" s="1"/>
  <c r="T47" i="1"/>
  <c r="U47" i="1" s="1"/>
  <c r="AG47" i="1" l="1"/>
  <c r="AH47" i="1" s="1"/>
  <c r="J48" i="1"/>
  <c r="K48" i="1" s="1"/>
  <c r="T48" i="1"/>
  <c r="U48" i="1" s="1"/>
  <c r="AG48" i="1" l="1"/>
  <c r="AH48" i="1" s="1"/>
  <c r="J49" i="1"/>
  <c r="K49" i="1" s="1"/>
  <c r="T49" i="1"/>
  <c r="U49" i="1" s="1"/>
  <c r="AG49" i="1" l="1"/>
  <c r="AH49" i="1" s="1"/>
  <c r="T12" i="1"/>
  <c r="U12" i="1" s="1"/>
  <c r="AC11" i="1"/>
  <c r="AD11" i="1"/>
  <c r="S11" i="1"/>
  <c r="AG12" i="1" l="1"/>
  <c r="AH12" i="1" s="1"/>
  <c r="AE11" i="1"/>
  <c r="T11" i="1"/>
  <c r="U11" i="1" s="1"/>
  <c r="AG11" i="1" l="1"/>
  <c r="AH11" i="1" s="1"/>
</calcChain>
</file>

<file path=xl/sharedStrings.xml><?xml version="1.0" encoding="utf-8"?>
<sst xmlns="http://schemas.openxmlformats.org/spreadsheetml/2006/main" count="65" uniqueCount="33">
  <si>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</si>
  <si>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</si>
  <si>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</si>
  <si>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</si>
  <si>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</si>
  <si>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</si>
  <si>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</si>
  <si>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</si>
  <si>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</si>
  <si>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</si>
  <si>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</si>
  <si>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</si>
  <si>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</si>
  <si>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</si>
  <si>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</si>
  <si>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</si>
  <si>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</si>
  <si>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</si>
  <si>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</si>
  <si>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</si>
  <si>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</si>
  <si>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</si>
  <si>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</si>
  <si>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</si>
  <si>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</si>
  <si>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</si>
  <si>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</si>
  <si>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</si>
  <si>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</si>
  <si>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</si>
  <si>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Fecha</t>
  </si>
  <si>
    <t>Presente</t>
  </si>
  <si>
    <t>Tardias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</si>
</sst>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</fills>
  <borders count="42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/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/>
      <top/>
      <bottom/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/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A64D79"/>
      </left>
      <right/>
      <top style="thin">
        <color rgb="FFA64D79"/>
      </top>
      <bottom/>
      <diagonal/>
    </border>
    <border>
      <left style="thin">
        <color rgb="FFA64D79"/>
      </left>
      <right/>
      <top/>
      <bottom style="thin">
        <color rgb="FFA64D79"/>
      </bottom>
      <diagonal/>
    </border>
    <border>
      <left/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/>
      <diagonal/>
    </border>
    <border>
      <left style="thin">
        <color theme="5" tint="0.59999389629810485"/>
      </left>
      <right style="thin">
        <color theme="5" tint="0.59999389629810485"/>
      </right>
      <top/>
      <bottom/>
      <diagonal/>
    </border>
    <border>
      <left style="thin">
        <color theme="5" tint="0.59999389629810485"/>
      </left>
      <right style="thin">
        <color theme="5" tint="0.59999389629810485"/>
      </right>
      <top/>
      <bottom style="thin">
        <color theme="5" tint="0.59999389629810485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4" fillId="6" borderId="12" xfId="0" applyFont="1" applyFill="1" applyBorder="1" applyAlignment="1">
      <alignment horizontal="center" vertical="center"/>
    </xf>
    <xf numFmtId="0" fontId="13" fillId="6" borderId="12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9" borderId="20" xfId="0" applyFont="1" applyFill="1" applyBorder="1" applyAlignment="1">
      <alignment horizontal="center" vertical="center"/>
    </xf>
    <xf numFmtId="0" fontId="11" fillId="7" borderId="22" xfId="0" applyFont="1" applyFill="1" applyBorder="1" applyAlignment="1">
      <alignment horizontal="center" vertical="center"/>
    </xf>
    <xf numFmtId="0" fontId="11" fillId="7" borderId="19" xfId="0" applyFont="1" applyFill="1" applyBorder="1" applyAlignment="1">
      <alignment horizontal="center" vertical="center"/>
    </xf>
    <xf numFmtId="0" fontId="11" fillId="8" borderId="20" xfId="0" applyFont="1" applyFill="1" applyBorder="1" applyAlignment="1">
      <alignment horizontal="center" vertical="center"/>
    </xf>
    <xf numFmtId="0" fontId="11" fillId="8" borderId="23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10" borderId="26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10" borderId="28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9" xfId="0" applyFont="1" applyFill="1" applyBorder="1" applyAlignment="1">
      <alignment horizontal="center" vertical="center"/>
    </xf>
    <xf numFmtId="0" fontId="11" fillId="11" borderId="29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7" fillId="10" borderId="2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11" fillId="3" borderId="25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11" fillId="3" borderId="32" xfId="0" applyFont="1" applyFill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11" borderId="36" xfId="0" applyFont="1" applyFill="1" applyBorder="1" applyAlignment="1">
      <alignment horizontal="center" vertical="center"/>
    </xf>
    <xf numFmtId="0" fontId="2" fillId="11" borderId="37" xfId="0" applyFont="1" applyFill="1" applyBorder="1" applyAlignment="1">
      <alignment horizontal="center" vertical="center"/>
    </xf>
    <xf numFmtId="0" fontId="6" fillId="10" borderId="24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12" fillId="11" borderId="39" xfId="0" applyFont="1" applyFill="1" applyBorder="1" applyAlignment="1">
      <alignment horizontal="center" vertical="center"/>
    </xf>
    <xf numFmtId="0" fontId="12" fillId="11" borderId="40" xfId="0" applyFont="1" applyFill="1" applyBorder="1" applyAlignment="1">
      <alignment horizontal="center" vertical="center"/>
    </xf>
    <xf numFmtId="0" fontId="12" fillId="11" borderId="41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7" borderId="14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7" fillId="11" borderId="37" xfId="0" applyFont="1" applyFill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11" borderId="37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304800</xdr:colOff>
          <xdr:row>1</xdr:row>
          <xdr:rowOff>57150</xdr:rowOff>
        </xdr:from>
        <xdr:to>
          <xdr:col>20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O57"/>
  <sheetViews>
    <sheetView tabSelected="1" topLeftCell="B1" zoomScale="50" zoomScaleNormal="50" workbookViewId="0">
      <selection activeCell="L24" sqref="L24"/>
    </sheetView>
  </sheetViews>
  <sheetFormatPr baseColWidth="10" defaultColWidth="14.42578125" defaultRowHeight="15.75" customHeight="1" x14ac:dyDescent="0.2"/>
  <cols>
    <col min="1" max="1" width="8.42578125" style="30" customWidth="1"/>
    <col min="2" max="2" width="60.5703125" style="30" customWidth="1"/>
    <col min="3" max="3" width="26.85546875" style="30" customWidth="1"/>
    <col min="4" max="4" width="22.42578125" style="30" customWidth="1"/>
    <col min="5" max="5" width="21.5703125" style="30" customWidth="1"/>
    <col min="6" max="8" width="14.42578125" style="30"/>
    <col min="9" max="9" width="15.85546875" style="30" customWidth="1"/>
    <col min="10" max="10" width="14.42578125" style="30"/>
    <col min="11" max="11" width="30" style="30" customWidth="1"/>
    <col min="12" max="12" width="28" style="30" customWidth="1"/>
    <col min="13" max="13" width="25.140625" style="30" customWidth="1"/>
    <col min="14" max="14" width="20.140625" style="30" customWidth="1"/>
    <col min="15" max="15" width="22.28515625" style="30" customWidth="1"/>
    <col min="16" max="17" width="14.42578125" style="30"/>
    <col min="18" max="18" width="14.7109375" style="30" customWidth="1"/>
    <col min="19" max="19" width="15.42578125" style="30" customWidth="1"/>
    <col min="20" max="20" width="14.42578125" style="30"/>
    <col min="21" max="21" width="28.5703125" style="30" customWidth="1"/>
    <col min="22" max="22" width="33.140625" style="30" customWidth="1"/>
    <col min="23" max="23" width="24.7109375" style="30" customWidth="1"/>
    <col min="24" max="24" width="21.7109375" style="30" customWidth="1"/>
    <col min="25" max="25" width="21.140625" style="30" customWidth="1"/>
    <col min="26" max="27" width="14.42578125" style="30"/>
    <col min="28" max="28" width="18.28515625" style="30" customWidth="1"/>
    <col min="29" max="29" width="16.7109375" style="30" customWidth="1"/>
    <col min="30" max="30" width="17.5703125" style="30" customWidth="1"/>
    <col min="31" max="31" width="30.7109375" style="30" customWidth="1"/>
    <col min="32" max="32" width="35.140625" style="30" customWidth="1"/>
    <col min="33" max="35" width="25" style="30" customWidth="1"/>
    <col min="36" max="36" width="14.42578125" style="30"/>
    <col min="37" max="37" width="30.140625" style="30" customWidth="1"/>
    <col min="38" max="16384" width="14.42578125" style="30"/>
  </cols>
  <sheetData>
    <row r="2" spans="1:41" ht="15.75" customHeight="1" x14ac:dyDescent="0.2">
      <c r="M2" s="60" t="s">
        <v>24</v>
      </c>
      <c r="N2" s="61"/>
      <c r="O2" s="61"/>
      <c r="P2" s="61"/>
      <c r="Q2" s="61"/>
      <c r="R2" s="61"/>
      <c r="S2" s="61"/>
      <c r="T2" s="62"/>
    </row>
    <row r="3" spans="1:41" ht="21" x14ac:dyDescent="0.2">
      <c r="C3" s="65" t="s">
        <v>0</v>
      </c>
      <c r="D3" s="66"/>
      <c r="E3" s="66"/>
      <c r="F3" s="67"/>
      <c r="M3" s="47"/>
      <c r="N3" s="70" t="s">
        <v>10</v>
      </c>
      <c r="O3" s="71"/>
      <c r="P3" s="70" t="s">
        <v>11</v>
      </c>
      <c r="Q3" s="71"/>
      <c r="R3" s="72"/>
      <c r="S3" s="71"/>
      <c r="T3" s="48"/>
    </row>
    <row r="4" spans="1:41" ht="21" x14ac:dyDescent="0.2">
      <c r="C4" s="6" t="s">
        <v>1</v>
      </c>
      <c r="D4" s="6" t="s">
        <v>2</v>
      </c>
      <c r="E4" s="6" t="s">
        <v>3</v>
      </c>
      <c r="F4" s="6" t="s">
        <v>4</v>
      </c>
      <c r="M4" s="28" t="s">
        <v>12</v>
      </c>
      <c r="N4" s="28" t="s">
        <v>13</v>
      </c>
      <c r="O4" s="28" t="s">
        <v>14</v>
      </c>
      <c r="P4" s="28" t="s">
        <v>15</v>
      </c>
      <c r="Q4" s="28" t="s">
        <v>16</v>
      </c>
      <c r="R4" s="28" t="s">
        <v>17</v>
      </c>
      <c r="S4" s="28" t="s">
        <v>18</v>
      </c>
      <c r="T4" s="28" t="s">
        <v>27</v>
      </c>
    </row>
    <row r="5" spans="1:41" ht="21" x14ac:dyDescent="0.2">
      <c r="C5" s="6" t="s">
        <v>5</v>
      </c>
      <c r="D5" s="6" t="s">
        <v>6</v>
      </c>
      <c r="E5" s="6" t="s">
        <v>28</v>
      </c>
      <c r="F5" s="6" t="s">
        <v>29</v>
      </c>
      <c r="M5" s="29">
        <v>20</v>
      </c>
      <c r="N5" s="29">
        <v>5</v>
      </c>
      <c r="O5" s="29">
        <v>5</v>
      </c>
      <c r="P5" s="29">
        <v>30</v>
      </c>
      <c r="Q5" s="29">
        <v>30</v>
      </c>
      <c r="R5" s="29">
        <v>5</v>
      </c>
      <c r="S5" s="29">
        <v>5</v>
      </c>
      <c r="T5" s="29">
        <v>70</v>
      </c>
      <c r="AB5" s="37" t="s">
        <v>26</v>
      </c>
    </row>
    <row r="7" spans="1:41" ht="12.75" x14ac:dyDescent="0.2">
      <c r="A7" s="27"/>
      <c r="B7" s="31"/>
    </row>
    <row r="8" spans="1:41" ht="27" x14ac:dyDescent="0.2">
      <c r="A8" s="27"/>
      <c r="C8" s="63" t="s">
        <v>7</v>
      </c>
      <c r="D8" s="57"/>
      <c r="E8" s="57"/>
      <c r="F8" s="57"/>
      <c r="G8" s="57"/>
      <c r="H8" s="57"/>
      <c r="I8" s="57"/>
      <c r="J8" s="57"/>
      <c r="K8" s="58"/>
      <c r="L8" s="32"/>
      <c r="M8" s="59" t="s">
        <v>8</v>
      </c>
      <c r="N8" s="52"/>
      <c r="O8" s="52"/>
      <c r="P8" s="52"/>
      <c r="Q8" s="52"/>
      <c r="R8" s="52"/>
      <c r="S8" s="52"/>
      <c r="T8" s="52"/>
      <c r="U8" s="53"/>
      <c r="W8" s="51" t="s">
        <v>9</v>
      </c>
      <c r="X8" s="52"/>
      <c r="Y8" s="52"/>
      <c r="Z8" s="52"/>
      <c r="AA8" s="52"/>
      <c r="AB8" s="52"/>
      <c r="AC8" s="52"/>
      <c r="AD8" s="52"/>
      <c r="AE8" s="53"/>
      <c r="AF8" s="7"/>
      <c r="AG8" s="7"/>
      <c r="AH8" s="7"/>
      <c r="AI8" s="7"/>
    </row>
    <row r="9" spans="1:41" ht="23.25" x14ac:dyDescent="0.2">
      <c r="A9" s="27"/>
      <c r="C9" s="3"/>
      <c r="D9" s="73" t="s">
        <v>10</v>
      </c>
      <c r="E9" s="58"/>
      <c r="F9" s="73" t="s">
        <v>11</v>
      </c>
      <c r="G9" s="58"/>
      <c r="H9" s="64"/>
      <c r="I9" s="57"/>
      <c r="J9" s="57"/>
      <c r="K9" s="58"/>
      <c r="L9" s="32"/>
      <c r="M9" s="33"/>
      <c r="N9" s="68" t="s">
        <v>10</v>
      </c>
      <c r="O9" s="55"/>
      <c r="P9" s="68" t="s">
        <v>11</v>
      </c>
      <c r="Q9" s="55"/>
      <c r="R9" s="69"/>
      <c r="S9" s="57"/>
      <c r="T9" s="57"/>
      <c r="U9" s="58"/>
      <c r="W9" s="34"/>
      <c r="X9" s="54" t="s">
        <v>10</v>
      </c>
      <c r="Y9" s="55"/>
      <c r="Z9" s="54" t="s">
        <v>11</v>
      </c>
      <c r="AA9" s="55"/>
      <c r="AB9" s="56"/>
      <c r="AC9" s="57"/>
      <c r="AD9" s="57"/>
      <c r="AE9" s="58"/>
      <c r="AM9" s="50" t="s">
        <v>18</v>
      </c>
      <c r="AN9" s="50"/>
      <c r="AO9" s="50"/>
    </row>
    <row r="10" spans="1:41" ht="23.25" customHeight="1" x14ac:dyDescent="0.2">
      <c r="A10" s="27"/>
      <c r="C10" s="4" t="s">
        <v>12</v>
      </c>
      <c r="D10" s="4" t="s">
        <v>13</v>
      </c>
      <c r="E10" s="4" t="s">
        <v>14</v>
      </c>
      <c r="F10" s="4" t="s">
        <v>15</v>
      </c>
      <c r="G10" s="4" t="s">
        <v>16</v>
      </c>
      <c r="H10" s="4" t="s">
        <v>17</v>
      </c>
      <c r="I10" s="4" t="s">
        <v>18</v>
      </c>
      <c r="J10" s="4" t="s">
        <v>19</v>
      </c>
      <c r="K10" s="4" t="s">
        <v>20</v>
      </c>
      <c r="L10" s="32"/>
      <c r="M10" s="8" t="s">
        <v>12</v>
      </c>
      <c r="N10" s="9" t="s">
        <v>13</v>
      </c>
      <c r="O10" s="9" t="s">
        <v>14</v>
      </c>
      <c r="P10" s="9" t="s">
        <v>15</v>
      </c>
      <c r="Q10" s="9" t="s">
        <v>16</v>
      </c>
      <c r="R10" s="9" t="s">
        <v>17</v>
      </c>
      <c r="S10" s="9" t="s">
        <v>18</v>
      </c>
      <c r="T10" s="9" t="s">
        <v>19</v>
      </c>
      <c r="U10" s="10" t="s">
        <v>20</v>
      </c>
      <c r="W10" s="11" t="s">
        <v>12</v>
      </c>
      <c r="X10" s="12" t="s">
        <v>13</v>
      </c>
      <c r="Y10" s="12" t="s">
        <v>14</v>
      </c>
      <c r="Z10" s="12" t="s">
        <v>15</v>
      </c>
      <c r="AA10" s="12" t="s">
        <v>16</v>
      </c>
      <c r="AB10" s="12" t="s">
        <v>17</v>
      </c>
      <c r="AC10" s="12" t="s">
        <v>18</v>
      </c>
      <c r="AD10" s="12" t="s">
        <v>19</v>
      </c>
      <c r="AE10" s="13" t="s">
        <v>20</v>
      </c>
      <c r="AF10" s="14"/>
      <c r="AG10" s="15" t="s">
        <v>21</v>
      </c>
      <c r="AH10" s="15" t="s">
        <v>22</v>
      </c>
      <c r="AI10" s="7"/>
    </row>
    <row r="11" spans="1:41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30</v>
      </c>
      <c r="G11" s="5">
        <v>30</v>
      </c>
      <c r="H11" s="5">
        <f>calcularConcepto(C11:G11)</f>
        <v>5</v>
      </c>
      <c r="I11" s="5">
        <f>ABS(S5)</f>
        <v>5</v>
      </c>
      <c r="J11" s="5">
        <f>SUM(C11:I11)</f>
        <v>100</v>
      </c>
      <c r="K11" s="5">
        <f>PRODUCT(J11,30%)</f>
        <v>30</v>
      </c>
      <c r="L11" s="35" t="str">
        <f>copyValue(B11)</f>
        <v>Estudiantes</v>
      </c>
      <c r="M11" s="16">
        <v>20</v>
      </c>
      <c r="N11" s="17">
        <v>5</v>
      </c>
      <c r="O11" s="17">
        <v>5</v>
      </c>
      <c r="P11" s="17">
        <v>30</v>
      </c>
      <c r="Q11" s="17">
        <v>30</v>
      </c>
      <c r="R11" s="17">
        <f>calcularConcepto(M11:Q11)</f>
        <v>5</v>
      </c>
      <c r="S11" s="17">
        <f t="shared" ref="S11" si="0">ABS(S5)</f>
        <v>5</v>
      </c>
      <c r="T11" s="17">
        <f t="shared" ref="T11:T49" si="1">SUM(M11:S11)</f>
        <v>100</v>
      </c>
      <c r="U11" s="17">
        <f t="shared" ref="U11:U49" si="2">PRODUCT(T11,30%)</f>
        <v>30</v>
      </c>
      <c r="V11" s="30" t="str">
        <f>copyValue(L11)</f>
        <v>Estudiantes</v>
      </c>
      <c r="W11" s="18">
        <v>20</v>
      </c>
      <c r="X11" s="18">
        <v>5</v>
      </c>
      <c r="Y11" s="18">
        <v>5</v>
      </c>
      <c r="Z11" s="18">
        <v>30</v>
      </c>
      <c r="AA11" s="18">
        <v>30</v>
      </c>
      <c r="AB11" s="18">
        <f>calcularConcepto(W11:AA11)</f>
        <v>5</v>
      </c>
      <c r="AC11" s="18">
        <f t="shared" ref="AC11" si="3">ABS(S5)</f>
        <v>5</v>
      </c>
      <c r="AD11" s="19">
        <f>SUM(W11:AC11)</f>
        <v>100</v>
      </c>
      <c r="AE11" s="42">
        <f t="shared" ref="AE11:AE49" si="4">PRODUCT(AD11,40%)</f>
        <v>40</v>
      </c>
      <c r="AF11" s="30" t="str">
        <f>copyValue(V11)</f>
        <v>Estudiantes</v>
      </c>
      <c r="AG11" s="43">
        <f>SUM(AE11,U11,K11)</f>
        <v>100</v>
      </c>
      <c r="AH11" s="41" t="str">
        <f t="shared" ref="AH11:AH49" si="5">IF(AG11 &gt;=70,"Aprobado","Reprobado")</f>
        <v>Aprobado</v>
      </c>
      <c r="AI11" s="20"/>
      <c r="AM11" s="37" t="s">
        <v>30</v>
      </c>
      <c r="AN11" s="37"/>
      <c r="AO11" s="37"/>
    </row>
    <row r="12" spans="1:41" ht="16.5" customHeight="1" x14ac:dyDescent="0.2">
      <c r="A12" s="21">
        <v>1</v>
      </c>
      <c r="B12" s="49"/>
      <c r="C12" s="22">
        <v>20</v>
      </c>
      <c r="D12" s="22">
        <v>5</v>
      </c>
      <c r="E12" s="22">
        <v>5</v>
      </c>
      <c r="F12" s="22">
        <v>30</v>
      </c>
      <c r="G12" s="22">
        <v>30</v>
      </c>
      <c r="H12" s="22">
        <f>calcularConcepto(C12:G12)</f>
        <v>5</v>
      </c>
      <c r="I12" s="22">
        <v>5</v>
      </c>
      <c r="J12" s="22">
        <f>SUM(C12:I12)</f>
        <v>100</v>
      </c>
      <c r="K12" s="22">
        <f>PRODUCT(J12,30%)</f>
        <v>30</v>
      </c>
      <c r="L12" s="30" t="str">
        <f>copyValue(B12)</f>
        <v/>
      </c>
      <c r="M12" s="22">
        <v>20</v>
      </c>
      <c r="N12" s="22">
        <v>5</v>
      </c>
      <c r="O12" s="22">
        <v>5</v>
      </c>
      <c r="P12" s="22">
        <v>30</v>
      </c>
      <c r="Q12" s="22">
        <v>30</v>
      </c>
      <c r="R12" s="22">
        <f t="shared" ref="R12:R49" si="6">calcularConcepto(M12:Q12)</f>
        <v>5</v>
      </c>
      <c r="S12" s="22">
        <v>5</v>
      </c>
      <c r="T12" s="22">
        <f t="shared" si="1"/>
        <v>100</v>
      </c>
      <c r="U12" s="22">
        <f t="shared" si="2"/>
        <v>30</v>
      </c>
      <c r="V12" s="30" t="str">
        <f>copyValue(L12)</f>
        <v/>
      </c>
      <c r="W12" s="22">
        <v>20</v>
      </c>
      <c r="X12" s="22">
        <v>5</v>
      </c>
      <c r="Y12" s="27">
        <v>5</v>
      </c>
      <c r="Z12" s="38">
        <v>30</v>
      </c>
      <c r="AA12" s="44">
        <v>30</v>
      </c>
      <c r="AB12" s="20">
        <f t="shared" ref="AB12:AB49" si="7">calcularConcepto(W12:AA12)</f>
        <v>5</v>
      </c>
      <c r="AC12" s="30">
        <v>5</v>
      </c>
      <c r="AD12" s="30">
        <f>SUM(W12:AC12)</f>
        <v>100</v>
      </c>
      <c r="AE12" s="30">
        <f t="shared" si="4"/>
        <v>40</v>
      </c>
      <c r="AF12" s="30" t="str">
        <f>copyValue(V12)</f>
        <v/>
      </c>
      <c r="AG12" s="30">
        <f>SUM(AE12,U12,K12)</f>
        <v>100</v>
      </c>
      <c r="AH12" s="30" t="str">
        <f t="shared" si="5"/>
        <v>Aprobado</v>
      </c>
      <c r="AK12" s="37" t="s">
        <v>31</v>
      </c>
      <c r="AL12" s="37" t="s">
        <v>32</v>
      </c>
      <c r="AM12" s="37" t="str">
        <f t="shared" ref="AM12:AM50" si="8">copyValue(B11)</f>
        <v>Estudiantes</v>
      </c>
    </row>
    <row r="13" spans="1:41" ht="15" customHeight="1" x14ac:dyDescent="0.2">
      <c r="A13" s="21">
        <v>2</v>
      </c>
      <c r="B13" s="36"/>
      <c r="C13" s="24">
        <v>20</v>
      </c>
      <c r="D13" s="24">
        <v>5</v>
      </c>
      <c r="E13" s="24">
        <v>5</v>
      </c>
      <c r="F13" s="24">
        <v>30</v>
      </c>
      <c r="G13" s="24">
        <v>30</v>
      </c>
      <c r="H13" s="24">
        <f>calcularConcepto(C13:G13)</f>
        <v>5</v>
      </c>
      <c r="I13" s="24">
        <v>5</v>
      </c>
      <c r="J13" s="24">
        <f>SUM(C13:I13)</f>
        <v>100</v>
      </c>
      <c r="K13" s="24">
        <f>PRODUCT(J13,30%)</f>
        <v>30</v>
      </c>
      <c r="L13" s="30" t="str">
        <f t="shared" ref="L13:L49" si="9">copyValue(B13)</f>
        <v/>
      </c>
      <c r="M13" s="24">
        <v>20</v>
      </c>
      <c r="N13" s="24">
        <v>5</v>
      </c>
      <c r="O13" s="24">
        <v>5</v>
      </c>
      <c r="P13" s="24">
        <v>30</v>
      </c>
      <c r="Q13" s="24">
        <v>30</v>
      </c>
      <c r="R13" s="24">
        <f t="shared" si="6"/>
        <v>5</v>
      </c>
      <c r="S13" s="24">
        <v>5</v>
      </c>
      <c r="T13" s="24">
        <f t="shared" si="1"/>
        <v>100</v>
      </c>
      <c r="U13" s="24">
        <f t="shared" si="2"/>
        <v>30</v>
      </c>
      <c r="V13" s="30" t="str">
        <f t="shared" ref="V13:V49" si="10">copyValue(L13)</f>
        <v/>
      </c>
      <c r="W13" s="24">
        <v>20</v>
      </c>
      <c r="X13" s="24">
        <v>5</v>
      </c>
      <c r="Y13" s="27">
        <v>5</v>
      </c>
      <c r="Z13" s="39">
        <v>30</v>
      </c>
      <c r="AA13" s="45">
        <v>30</v>
      </c>
      <c r="AB13" s="20">
        <f t="shared" si="7"/>
        <v>5</v>
      </c>
      <c r="AC13" s="30">
        <v>5</v>
      </c>
      <c r="AD13" s="30">
        <f t="shared" ref="AD13:AD49" si="11">SUM(W13:AC13)</f>
        <v>100</v>
      </c>
      <c r="AE13" s="30">
        <f t="shared" si="4"/>
        <v>40</v>
      </c>
      <c r="AF13" s="30" t="str">
        <f t="shared" ref="AF13:AF49" si="12">copyValue(V13)</f>
        <v/>
      </c>
      <c r="AG13" s="30">
        <f>SUM(AE13,U13,K13)</f>
        <v>100</v>
      </c>
      <c r="AH13" s="30" t="str">
        <f t="shared" si="5"/>
        <v>Aprobado</v>
      </c>
      <c r="AM13" s="37" t="str">
        <f t="shared" si="8"/>
        <v/>
      </c>
    </row>
    <row r="14" spans="1:41" ht="15" customHeight="1" x14ac:dyDescent="0.2">
      <c r="A14" s="21">
        <v>3</v>
      </c>
      <c r="B14" s="23"/>
      <c r="C14" s="24">
        <v>20</v>
      </c>
      <c r="D14" s="24">
        <v>5</v>
      </c>
      <c r="E14" s="24">
        <v>5</v>
      </c>
      <c r="F14" s="24">
        <v>30</v>
      </c>
      <c r="G14" s="24">
        <v>30</v>
      </c>
      <c r="H14" s="24">
        <f>calcularConcepto(C14:G14)</f>
        <v>5</v>
      </c>
      <c r="I14" s="24">
        <v>5</v>
      </c>
      <c r="J14" s="24">
        <f>SUM(C14:I14)</f>
        <v>100</v>
      </c>
      <c r="K14" s="24">
        <f>PRODUCT(J14,30%)</f>
        <v>30</v>
      </c>
      <c r="L14" s="30" t="str">
        <f t="shared" si="9"/>
        <v/>
      </c>
      <c r="M14" s="24">
        <v>20</v>
      </c>
      <c r="N14" s="24">
        <v>5</v>
      </c>
      <c r="O14" s="24">
        <v>5</v>
      </c>
      <c r="P14" s="24">
        <v>30</v>
      </c>
      <c r="Q14" s="24">
        <v>30</v>
      </c>
      <c r="R14" s="24">
        <f t="shared" si="6"/>
        <v>5</v>
      </c>
      <c r="S14" s="24">
        <v>5</v>
      </c>
      <c r="T14" s="24">
        <f t="shared" si="1"/>
        <v>100</v>
      </c>
      <c r="U14" s="24">
        <f t="shared" si="2"/>
        <v>30</v>
      </c>
      <c r="V14" s="30" t="str">
        <f t="shared" si="10"/>
        <v/>
      </c>
      <c r="W14" s="24">
        <v>20</v>
      </c>
      <c r="X14" s="24">
        <v>5</v>
      </c>
      <c r="Y14" s="27">
        <v>5</v>
      </c>
      <c r="Z14" s="39">
        <v>30</v>
      </c>
      <c r="AA14" s="45">
        <v>30</v>
      </c>
      <c r="AB14" s="20">
        <f t="shared" si="7"/>
        <v>5</v>
      </c>
      <c r="AC14" s="30">
        <v>5</v>
      </c>
      <c r="AD14" s="30">
        <f t="shared" si="11"/>
        <v>100</v>
      </c>
      <c r="AE14" s="30">
        <f t="shared" si="4"/>
        <v>40</v>
      </c>
      <c r="AF14" s="30" t="str">
        <f t="shared" si="12"/>
        <v/>
      </c>
      <c r="AG14" s="30">
        <f>SUM(AE14,U14,K14)</f>
        <v>100</v>
      </c>
      <c r="AH14" s="30" t="str">
        <f t="shared" si="5"/>
        <v>Aprobado</v>
      </c>
      <c r="AM14" s="37" t="str">
        <f t="shared" si="8"/>
        <v/>
      </c>
    </row>
    <row r="15" spans="1:41" ht="15" customHeight="1" x14ac:dyDescent="0.2">
      <c r="A15" s="21">
        <v>4</v>
      </c>
      <c r="B15" s="23"/>
      <c r="C15" s="24">
        <v>20</v>
      </c>
      <c r="D15" s="24">
        <v>5</v>
      </c>
      <c r="E15" s="24">
        <v>5</v>
      </c>
      <c r="F15" s="24">
        <v>30</v>
      </c>
      <c r="G15" s="24">
        <v>30</v>
      </c>
      <c r="H15" s="24">
        <f>calcularConcepto(C15:G15)</f>
        <v>5</v>
      </c>
      <c r="I15" s="24">
        <v>5</v>
      </c>
      <c r="J15" s="24">
        <f>SUM(C15:I15)</f>
        <v>100</v>
      </c>
      <c r="K15" s="24">
        <f>PRODUCT(J15,30%)</f>
        <v>30</v>
      </c>
      <c r="L15" s="30" t="str">
        <f t="shared" si="9"/>
        <v/>
      </c>
      <c r="M15" s="24">
        <v>20</v>
      </c>
      <c r="N15" s="24">
        <v>5</v>
      </c>
      <c r="O15" s="24">
        <v>5</v>
      </c>
      <c r="P15" s="24">
        <v>30</v>
      </c>
      <c r="Q15" s="24">
        <v>30</v>
      </c>
      <c r="R15" s="24">
        <f t="shared" si="6"/>
        <v>5</v>
      </c>
      <c r="S15" s="24">
        <v>5</v>
      </c>
      <c r="T15" s="24">
        <f t="shared" si="1"/>
        <v>100</v>
      </c>
      <c r="U15" s="24">
        <f t="shared" si="2"/>
        <v>30</v>
      </c>
      <c r="V15" s="30" t="str">
        <f t="shared" si="10"/>
        <v/>
      </c>
      <c r="W15" s="24">
        <v>20</v>
      </c>
      <c r="X15" s="24">
        <v>5</v>
      </c>
      <c r="Y15" s="27">
        <v>5</v>
      </c>
      <c r="Z15" s="39">
        <v>30</v>
      </c>
      <c r="AA15" s="45">
        <v>30</v>
      </c>
      <c r="AB15" s="20">
        <f t="shared" si="7"/>
        <v>5</v>
      </c>
      <c r="AC15" s="30">
        <v>5</v>
      </c>
      <c r="AD15" s="30">
        <f t="shared" si="11"/>
        <v>100</v>
      </c>
      <c r="AE15" s="30">
        <f t="shared" si="4"/>
        <v>40</v>
      </c>
      <c r="AF15" s="30" t="str">
        <f t="shared" si="12"/>
        <v/>
      </c>
      <c r="AG15" s="30">
        <f>SUM(AE15,U15,K15)</f>
        <v>100</v>
      </c>
      <c r="AH15" s="30" t="str">
        <f t="shared" si="5"/>
        <v>Aprobado</v>
      </c>
      <c r="AM15" s="37" t="str">
        <f t="shared" si="8"/>
        <v/>
      </c>
    </row>
    <row r="16" spans="1:41" ht="15" customHeight="1" x14ac:dyDescent="0.2">
      <c r="A16" s="21">
        <v>5</v>
      </c>
      <c r="B16" s="23"/>
      <c r="C16" s="24">
        <v>20</v>
      </c>
      <c r="D16" s="24">
        <v>5</v>
      </c>
      <c r="E16" s="24">
        <v>5</v>
      </c>
      <c r="F16" s="24">
        <v>30</v>
      </c>
      <c r="G16" s="24">
        <v>30</v>
      </c>
      <c r="H16" s="24">
        <f>calcularConcepto(C16:G16)</f>
        <v>5</v>
      </c>
      <c r="I16" s="24">
        <v>5</v>
      </c>
      <c r="J16" s="24">
        <f>SUM(C16:I16)</f>
        <v>100</v>
      </c>
      <c r="K16" s="24">
        <f>PRODUCT(J16,30%)</f>
        <v>30</v>
      </c>
      <c r="L16" s="30" t="str">
        <f t="shared" si="9"/>
        <v/>
      </c>
      <c r="M16" s="24">
        <v>20</v>
      </c>
      <c r="N16" s="24">
        <v>5</v>
      </c>
      <c r="O16" s="24">
        <v>5</v>
      </c>
      <c r="P16" s="24">
        <v>30</v>
      </c>
      <c r="Q16" s="24">
        <v>30</v>
      </c>
      <c r="R16" s="24">
        <f t="shared" si="6"/>
        <v>5</v>
      </c>
      <c r="S16" s="24">
        <v>5</v>
      </c>
      <c r="T16" s="24">
        <f t="shared" si="1"/>
        <v>100</v>
      </c>
      <c r="U16" s="24">
        <f t="shared" si="2"/>
        <v>30</v>
      </c>
      <c r="V16" s="30" t="str">
        <f t="shared" si="10"/>
        <v/>
      </c>
      <c r="W16" s="24">
        <v>20</v>
      </c>
      <c r="X16" s="24">
        <v>5</v>
      </c>
      <c r="Y16" s="27">
        <v>5</v>
      </c>
      <c r="Z16" s="39">
        <v>30</v>
      </c>
      <c r="AA16" s="45">
        <v>30</v>
      </c>
      <c r="AB16" s="20">
        <f t="shared" si="7"/>
        <v>5</v>
      </c>
      <c r="AC16" s="30">
        <v>5</v>
      </c>
      <c r="AD16" s="30">
        <f t="shared" si="11"/>
        <v>100</v>
      </c>
      <c r="AE16" s="30">
        <f t="shared" si="4"/>
        <v>40</v>
      </c>
      <c r="AF16" s="30" t="str">
        <f t="shared" si="12"/>
        <v/>
      </c>
      <c r="AG16" s="30">
        <f>SUM(AE16,U16,K16)</f>
        <v>100</v>
      </c>
      <c r="AH16" s="30" t="str">
        <f t="shared" si="5"/>
        <v>Aprobado</v>
      </c>
      <c r="AM16" s="37" t="str">
        <f t="shared" si="8"/>
        <v/>
      </c>
    </row>
    <row r="17" spans="1:39" ht="15" customHeight="1" x14ac:dyDescent="0.2">
      <c r="A17" s="21">
        <v>6</v>
      </c>
      <c r="B17" s="23"/>
      <c r="C17" s="24">
        <v>20</v>
      </c>
      <c r="D17" s="24">
        <v>5</v>
      </c>
      <c r="E17" s="24">
        <v>5</v>
      </c>
      <c r="F17" s="24">
        <v>30</v>
      </c>
      <c r="G17" s="24">
        <v>30</v>
      </c>
      <c r="H17" s="24">
        <f>calcularConcepto(C17:G17)</f>
        <v>5</v>
      </c>
      <c r="I17" s="24">
        <v>5</v>
      </c>
      <c r="J17" s="24">
        <f>SUM(C17:I17)</f>
        <v>100</v>
      </c>
      <c r="K17" s="24">
        <f>PRODUCT(J17,30%)</f>
        <v>30</v>
      </c>
      <c r="L17" s="30" t="str">
        <f t="shared" si="9"/>
        <v/>
      </c>
      <c r="M17" s="24">
        <v>20</v>
      </c>
      <c r="N17" s="24">
        <v>5</v>
      </c>
      <c r="O17" s="24">
        <v>5</v>
      </c>
      <c r="P17" s="24">
        <v>30</v>
      </c>
      <c r="Q17" s="24">
        <v>30</v>
      </c>
      <c r="R17" s="24">
        <f t="shared" si="6"/>
        <v>5</v>
      </c>
      <c r="S17" s="24">
        <v>5</v>
      </c>
      <c r="T17" s="24">
        <f t="shared" si="1"/>
        <v>100</v>
      </c>
      <c r="U17" s="24">
        <f t="shared" si="2"/>
        <v>30</v>
      </c>
      <c r="V17" s="30" t="str">
        <f t="shared" si="10"/>
        <v/>
      </c>
      <c r="W17" s="24">
        <v>20</v>
      </c>
      <c r="X17" s="24">
        <v>5</v>
      </c>
      <c r="Y17" s="27">
        <v>5</v>
      </c>
      <c r="Z17" s="39">
        <v>30</v>
      </c>
      <c r="AA17" s="45">
        <v>30</v>
      </c>
      <c r="AB17" s="20">
        <f t="shared" si="7"/>
        <v>5</v>
      </c>
      <c r="AC17" s="30">
        <v>5</v>
      </c>
      <c r="AD17" s="30">
        <f t="shared" si="11"/>
        <v>100</v>
      </c>
      <c r="AE17" s="30">
        <f t="shared" si="4"/>
        <v>40</v>
      </c>
      <c r="AF17" s="30" t="str">
        <f t="shared" si="12"/>
        <v/>
      </c>
      <c r="AG17" s="30">
        <f>SUM(AE17,U17,K17)</f>
        <v>100</v>
      </c>
      <c r="AH17" s="30" t="str">
        <f t="shared" si="5"/>
        <v>Aprobado</v>
      </c>
      <c r="AM17" s="37" t="str">
        <f t="shared" si="8"/>
        <v/>
      </c>
    </row>
    <row r="18" spans="1:39" ht="15" customHeight="1" x14ac:dyDescent="0.2">
      <c r="A18" s="21">
        <v>7</v>
      </c>
      <c r="B18" s="23"/>
      <c r="C18" s="24">
        <v>20</v>
      </c>
      <c r="D18" s="24">
        <v>5</v>
      </c>
      <c r="E18" s="24">
        <v>5</v>
      </c>
      <c r="F18" s="24">
        <v>30</v>
      </c>
      <c r="G18" s="24">
        <v>30</v>
      </c>
      <c r="H18" s="24">
        <f>calcularConcepto(C18:G18)</f>
        <v>5</v>
      </c>
      <c r="I18" s="24">
        <v>5</v>
      </c>
      <c r="J18" s="24">
        <f>SUM(C18:I18)</f>
        <v>100</v>
      </c>
      <c r="K18" s="24">
        <f>PRODUCT(J18,30%)</f>
        <v>30</v>
      </c>
      <c r="L18" s="30" t="str">
        <f t="shared" si="9"/>
        <v/>
      </c>
      <c r="M18" s="24">
        <v>20</v>
      </c>
      <c r="N18" s="24">
        <v>5</v>
      </c>
      <c r="O18" s="24">
        <v>5</v>
      </c>
      <c r="P18" s="24">
        <v>30</v>
      </c>
      <c r="Q18" s="24">
        <v>30</v>
      </c>
      <c r="R18" s="24">
        <f t="shared" si="6"/>
        <v>5</v>
      </c>
      <c r="S18" s="24">
        <v>5</v>
      </c>
      <c r="T18" s="24">
        <f t="shared" si="1"/>
        <v>100</v>
      </c>
      <c r="U18" s="24">
        <f t="shared" si="2"/>
        <v>30</v>
      </c>
      <c r="V18" s="30" t="str">
        <f t="shared" si="10"/>
        <v/>
      </c>
      <c r="W18" s="24">
        <v>20</v>
      </c>
      <c r="X18" s="24">
        <v>5</v>
      </c>
      <c r="Y18" s="27">
        <v>5</v>
      </c>
      <c r="Z18" s="39">
        <v>30</v>
      </c>
      <c r="AA18" s="45">
        <v>30</v>
      </c>
      <c r="AB18" s="20">
        <f t="shared" si="7"/>
        <v>5</v>
      </c>
      <c r="AC18" s="30">
        <v>5</v>
      </c>
      <c r="AD18" s="30">
        <f t="shared" si="11"/>
        <v>100</v>
      </c>
      <c r="AE18" s="30">
        <f t="shared" si="4"/>
        <v>40</v>
      </c>
      <c r="AF18" s="30" t="str">
        <f t="shared" si="12"/>
        <v/>
      </c>
      <c r="AG18" s="30">
        <f>SUM(AE18,U18,K18)</f>
        <v>100</v>
      </c>
      <c r="AH18" s="30" t="str">
        <f t="shared" si="5"/>
        <v>Aprobado</v>
      </c>
      <c r="AM18" s="37" t="str">
        <f t="shared" si="8"/>
        <v/>
      </c>
    </row>
    <row r="19" spans="1:39" ht="15" customHeight="1" x14ac:dyDescent="0.2">
      <c r="A19" s="21">
        <v>8</v>
      </c>
      <c r="B19" s="23"/>
      <c r="C19" s="24">
        <v>20</v>
      </c>
      <c r="D19" s="24">
        <v>5</v>
      </c>
      <c r="E19" s="24">
        <v>5</v>
      </c>
      <c r="F19" s="24">
        <v>30</v>
      </c>
      <c r="G19" s="24">
        <v>30</v>
      </c>
      <c r="H19" s="24">
        <f>calcularConcepto(C19:G19)</f>
        <v>5</v>
      </c>
      <c r="I19" s="24">
        <v>5</v>
      </c>
      <c r="J19" s="24">
        <f>SUM(C19:I19)</f>
        <v>100</v>
      </c>
      <c r="K19" s="24">
        <f>PRODUCT(J19,30%)</f>
        <v>30</v>
      </c>
      <c r="L19" s="30" t="str">
        <f t="shared" si="9"/>
        <v/>
      </c>
      <c r="M19" s="24">
        <v>20</v>
      </c>
      <c r="N19" s="24">
        <v>5</v>
      </c>
      <c r="O19" s="24">
        <v>5</v>
      </c>
      <c r="P19" s="24">
        <v>30</v>
      </c>
      <c r="Q19" s="24">
        <v>30</v>
      </c>
      <c r="R19" s="24">
        <f t="shared" si="6"/>
        <v>5</v>
      </c>
      <c r="S19" s="24">
        <v>5</v>
      </c>
      <c r="T19" s="24">
        <f t="shared" si="1"/>
        <v>100</v>
      </c>
      <c r="U19" s="24">
        <f t="shared" si="2"/>
        <v>30</v>
      </c>
      <c r="V19" s="30" t="str">
        <f t="shared" si="10"/>
        <v/>
      </c>
      <c r="W19" s="24">
        <v>20</v>
      </c>
      <c r="X19" s="24">
        <v>5</v>
      </c>
      <c r="Y19" s="27">
        <v>5</v>
      </c>
      <c r="Z19" s="39">
        <v>30</v>
      </c>
      <c r="AA19" s="45">
        <v>30</v>
      </c>
      <c r="AB19" s="20">
        <f t="shared" si="7"/>
        <v>5</v>
      </c>
      <c r="AC19" s="30">
        <v>5</v>
      </c>
      <c r="AD19" s="30">
        <f t="shared" si="11"/>
        <v>100</v>
      </c>
      <c r="AE19" s="30">
        <f t="shared" si="4"/>
        <v>40</v>
      </c>
      <c r="AF19" s="30" t="str">
        <f t="shared" si="12"/>
        <v/>
      </c>
      <c r="AG19" s="30">
        <f>SUM(AE19,U19,K19)</f>
        <v>100</v>
      </c>
      <c r="AH19" s="30" t="str">
        <f t="shared" si="5"/>
        <v>Aprobado</v>
      </c>
      <c r="AM19" s="37" t="str">
        <f t="shared" si="8"/>
        <v/>
      </c>
    </row>
    <row r="20" spans="1:39" ht="15" customHeight="1" x14ac:dyDescent="0.2">
      <c r="A20" s="21">
        <v>9</v>
      </c>
      <c r="B20" s="23"/>
      <c r="C20" s="24">
        <v>20</v>
      </c>
      <c r="D20" s="24">
        <v>5</v>
      </c>
      <c r="E20" s="24">
        <v>5</v>
      </c>
      <c r="F20" s="24">
        <v>30</v>
      </c>
      <c r="G20" s="24">
        <v>30</v>
      </c>
      <c r="H20" s="24">
        <f>calcularConcepto(C20:G20)</f>
        <v>5</v>
      </c>
      <c r="I20" s="24">
        <v>5</v>
      </c>
      <c r="J20" s="24">
        <f>SUM(C20:I20)</f>
        <v>100</v>
      </c>
      <c r="K20" s="24">
        <f>PRODUCT(J20,30%)</f>
        <v>30</v>
      </c>
      <c r="L20" s="30" t="str">
        <f t="shared" si="9"/>
        <v/>
      </c>
      <c r="M20" s="24">
        <v>20</v>
      </c>
      <c r="N20" s="24">
        <v>5</v>
      </c>
      <c r="O20" s="24">
        <v>5</v>
      </c>
      <c r="P20" s="24">
        <v>30</v>
      </c>
      <c r="Q20" s="24">
        <v>30</v>
      </c>
      <c r="R20" s="24">
        <f t="shared" si="6"/>
        <v>5</v>
      </c>
      <c r="S20" s="24">
        <v>5</v>
      </c>
      <c r="T20" s="24">
        <f t="shared" si="1"/>
        <v>100</v>
      </c>
      <c r="U20" s="24">
        <f t="shared" si="2"/>
        <v>30</v>
      </c>
      <c r="V20" s="30" t="str">
        <f t="shared" si="10"/>
        <v/>
      </c>
      <c r="W20" s="24">
        <v>20</v>
      </c>
      <c r="X20" s="24">
        <v>5</v>
      </c>
      <c r="Y20" s="27">
        <v>5</v>
      </c>
      <c r="Z20" s="39">
        <v>30</v>
      </c>
      <c r="AA20" s="45">
        <v>30</v>
      </c>
      <c r="AB20" s="20">
        <f t="shared" si="7"/>
        <v>5</v>
      </c>
      <c r="AC20" s="30">
        <v>5</v>
      </c>
      <c r="AD20" s="30">
        <f t="shared" si="11"/>
        <v>100</v>
      </c>
      <c r="AE20" s="30">
        <f t="shared" si="4"/>
        <v>40</v>
      </c>
      <c r="AF20" s="30" t="str">
        <f t="shared" si="12"/>
        <v/>
      </c>
      <c r="AG20" s="30">
        <f>SUM(AE20,U20,K20)</f>
        <v>100</v>
      </c>
      <c r="AH20" s="30" t="str">
        <f t="shared" si="5"/>
        <v>Aprobado</v>
      </c>
      <c r="AM20" s="37" t="str">
        <f t="shared" si="8"/>
        <v/>
      </c>
    </row>
    <row r="21" spans="1:39" ht="15" customHeight="1" x14ac:dyDescent="0.2">
      <c r="A21" s="21">
        <v>10</v>
      </c>
      <c r="B21" s="23"/>
      <c r="C21" s="24">
        <v>20</v>
      </c>
      <c r="D21" s="24">
        <v>5</v>
      </c>
      <c r="E21" s="24">
        <v>5</v>
      </c>
      <c r="F21" s="24">
        <v>30</v>
      </c>
      <c r="G21" s="24">
        <v>30</v>
      </c>
      <c r="H21" s="24">
        <f>calcularConcepto(C21:G21)</f>
        <v>5</v>
      </c>
      <c r="I21" s="24">
        <v>5</v>
      </c>
      <c r="J21" s="24">
        <f>SUM(C21:I21)</f>
        <v>100</v>
      </c>
      <c r="K21" s="24">
        <f>PRODUCT(J21,30%)</f>
        <v>30</v>
      </c>
      <c r="L21" s="30" t="str">
        <f t="shared" si="9"/>
        <v/>
      </c>
      <c r="M21" s="24">
        <v>20</v>
      </c>
      <c r="N21" s="24">
        <v>5</v>
      </c>
      <c r="O21" s="24">
        <v>5</v>
      </c>
      <c r="P21" s="24">
        <v>30</v>
      </c>
      <c r="Q21" s="24">
        <v>30</v>
      </c>
      <c r="R21" s="24">
        <f t="shared" si="6"/>
        <v>5</v>
      </c>
      <c r="S21" s="24">
        <v>5</v>
      </c>
      <c r="T21" s="24">
        <f t="shared" si="1"/>
        <v>100</v>
      </c>
      <c r="U21" s="24">
        <f t="shared" si="2"/>
        <v>30</v>
      </c>
      <c r="V21" s="30" t="str">
        <f t="shared" si="10"/>
        <v/>
      </c>
      <c r="W21" s="24">
        <v>20</v>
      </c>
      <c r="X21" s="24">
        <v>5</v>
      </c>
      <c r="Y21" s="27">
        <v>5</v>
      </c>
      <c r="Z21" s="39">
        <v>30</v>
      </c>
      <c r="AA21" s="45">
        <v>30</v>
      </c>
      <c r="AB21" s="20">
        <f t="shared" si="7"/>
        <v>5</v>
      </c>
      <c r="AC21" s="30">
        <v>5</v>
      </c>
      <c r="AD21" s="30">
        <f t="shared" si="11"/>
        <v>100</v>
      </c>
      <c r="AE21" s="30">
        <f t="shared" si="4"/>
        <v>40</v>
      </c>
      <c r="AF21" s="30" t="str">
        <f t="shared" si="12"/>
        <v/>
      </c>
      <c r="AG21" s="30">
        <f>SUM(AE21,U21,K21)</f>
        <v>100</v>
      </c>
      <c r="AH21" s="30" t="str">
        <f t="shared" si="5"/>
        <v>Aprobado</v>
      </c>
      <c r="AM21" s="37" t="str">
        <f t="shared" si="8"/>
        <v/>
      </c>
    </row>
    <row r="22" spans="1:39" ht="15" customHeight="1" x14ac:dyDescent="0.2">
      <c r="A22" s="21">
        <v>11</v>
      </c>
      <c r="B22" s="23"/>
      <c r="C22" s="24">
        <v>20</v>
      </c>
      <c r="D22" s="24">
        <v>5</v>
      </c>
      <c r="E22" s="24">
        <v>5</v>
      </c>
      <c r="F22" s="24">
        <v>30</v>
      </c>
      <c r="G22" s="24">
        <v>30</v>
      </c>
      <c r="H22" s="24">
        <f>calcularConcepto(C22:G22)</f>
        <v>5</v>
      </c>
      <c r="I22" s="24">
        <v>5</v>
      </c>
      <c r="J22" s="24">
        <f>SUM(C22:I22)</f>
        <v>100</v>
      </c>
      <c r="K22" s="24">
        <f>PRODUCT(J22,30%)</f>
        <v>30</v>
      </c>
      <c r="L22" s="30" t="str">
        <f t="shared" si="9"/>
        <v/>
      </c>
      <c r="M22" s="24">
        <v>20</v>
      </c>
      <c r="N22" s="24">
        <v>5</v>
      </c>
      <c r="O22" s="24">
        <v>5</v>
      </c>
      <c r="P22" s="24">
        <v>30</v>
      </c>
      <c r="Q22" s="24">
        <v>30</v>
      </c>
      <c r="R22" s="24">
        <f t="shared" si="6"/>
        <v>5</v>
      </c>
      <c r="S22" s="24">
        <v>5</v>
      </c>
      <c r="T22" s="24">
        <f t="shared" si="1"/>
        <v>100</v>
      </c>
      <c r="U22" s="24">
        <f t="shared" si="2"/>
        <v>30</v>
      </c>
      <c r="V22" s="30" t="str">
        <f t="shared" si="10"/>
        <v/>
      </c>
      <c r="W22" s="24">
        <v>20</v>
      </c>
      <c r="X22" s="24">
        <v>5</v>
      </c>
      <c r="Y22" s="27">
        <v>5</v>
      </c>
      <c r="Z22" s="39">
        <v>30</v>
      </c>
      <c r="AA22" s="45">
        <v>30</v>
      </c>
      <c r="AB22" s="20">
        <f t="shared" si="7"/>
        <v>5</v>
      </c>
      <c r="AC22" s="30">
        <v>5</v>
      </c>
      <c r="AD22" s="30">
        <f t="shared" si="11"/>
        <v>100</v>
      </c>
      <c r="AE22" s="30">
        <f t="shared" si="4"/>
        <v>40</v>
      </c>
      <c r="AF22" s="30" t="str">
        <f t="shared" si="12"/>
        <v/>
      </c>
      <c r="AG22" s="30">
        <f>SUM(AE22,U22,K22)</f>
        <v>100</v>
      </c>
      <c r="AH22" s="30" t="str">
        <f t="shared" si="5"/>
        <v>Aprobado</v>
      </c>
      <c r="AM22" s="37" t="str">
        <f t="shared" si="8"/>
        <v/>
      </c>
    </row>
    <row r="23" spans="1:39" ht="15" customHeight="1" x14ac:dyDescent="0.2">
      <c r="A23" s="21">
        <v>12</v>
      </c>
      <c r="B23" s="23"/>
      <c r="C23" s="24">
        <v>20</v>
      </c>
      <c r="D23" s="24">
        <v>5</v>
      </c>
      <c r="E23" s="24">
        <v>5</v>
      </c>
      <c r="F23" s="24">
        <v>30</v>
      </c>
      <c r="G23" s="24">
        <v>30</v>
      </c>
      <c r="H23" s="24">
        <f>calcularConcepto(C23:G23)</f>
        <v>5</v>
      </c>
      <c r="I23" s="24">
        <v>5</v>
      </c>
      <c r="J23" s="24">
        <f>SUM(C23:I23)</f>
        <v>100</v>
      </c>
      <c r="K23" s="24">
        <f>PRODUCT(J23,30%)</f>
        <v>30</v>
      </c>
      <c r="L23" s="30" t="str">
        <f t="shared" si="9"/>
        <v/>
      </c>
      <c r="M23" s="24">
        <v>20</v>
      </c>
      <c r="N23" s="24">
        <v>5</v>
      </c>
      <c r="O23" s="24">
        <v>5</v>
      </c>
      <c r="P23" s="24">
        <v>30</v>
      </c>
      <c r="Q23" s="24">
        <v>30</v>
      </c>
      <c r="R23" s="24">
        <f t="shared" si="6"/>
        <v>5</v>
      </c>
      <c r="S23" s="24">
        <v>5</v>
      </c>
      <c r="T23" s="24">
        <f t="shared" si="1"/>
        <v>100</v>
      </c>
      <c r="U23" s="24">
        <f t="shared" si="2"/>
        <v>30</v>
      </c>
      <c r="V23" s="30" t="str">
        <f t="shared" si="10"/>
        <v/>
      </c>
      <c r="W23" s="24">
        <v>20</v>
      </c>
      <c r="X23" s="24">
        <v>5</v>
      </c>
      <c r="Y23" s="27">
        <v>5</v>
      </c>
      <c r="Z23" s="39">
        <v>30</v>
      </c>
      <c r="AA23" s="45">
        <v>30</v>
      </c>
      <c r="AB23" s="20">
        <f t="shared" si="7"/>
        <v>5</v>
      </c>
      <c r="AC23" s="30">
        <v>5</v>
      </c>
      <c r="AD23" s="30">
        <f t="shared" si="11"/>
        <v>100</v>
      </c>
      <c r="AE23" s="30">
        <f t="shared" si="4"/>
        <v>40</v>
      </c>
      <c r="AF23" s="30" t="str">
        <f t="shared" si="12"/>
        <v/>
      </c>
      <c r="AG23" s="30">
        <f>SUM(AE23,U23,K23)</f>
        <v>100</v>
      </c>
      <c r="AH23" s="30" t="str">
        <f t="shared" si="5"/>
        <v>Aprobado</v>
      </c>
      <c r="AM23" s="37" t="str">
        <f t="shared" si="8"/>
        <v/>
      </c>
    </row>
    <row r="24" spans="1:39" ht="15" customHeight="1" x14ac:dyDescent="0.2">
      <c r="A24" s="21">
        <v>13</v>
      </c>
      <c r="B24" s="23"/>
      <c r="C24" s="24">
        <v>20</v>
      </c>
      <c r="D24" s="24">
        <v>5</v>
      </c>
      <c r="E24" s="24">
        <v>5</v>
      </c>
      <c r="F24" s="24">
        <v>30</v>
      </c>
      <c r="G24" s="24">
        <v>30</v>
      </c>
      <c r="H24" s="24">
        <f>calcularConcepto(C24:G24)</f>
        <v>5</v>
      </c>
      <c r="I24" s="24">
        <v>5</v>
      </c>
      <c r="J24" s="24">
        <f>SUM(C24:I24)</f>
        <v>100</v>
      </c>
      <c r="K24" s="24">
        <f>PRODUCT(J24,30%)</f>
        <v>30</v>
      </c>
      <c r="L24" s="30" t="str">
        <f t="shared" si="9"/>
        <v/>
      </c>
      <c r="M24" s="24">
        <v>20</v>
      </c>
      <c r="N24" s="24">
        <v>5</v>
      </c>
      <c r="O24" s="24">
        <v>5</v>
      </c>
      <c r="P24" s="24">
        <v>30</v>
      </c>
      <c r="Q24" s="24">
        <v>30</v>
      </c>
      <c r="R24" s="24">
        <f t="shared" si="6"/>
        <v>5</v>
      </c>
      <c r="S24" s="24">
        <v>5</v>
      </c>
      <c r="T24" s="24">
        <f t="shared" si="1"/>
        <v>100</v>
      </c>
      <c r="U24" s="24">
        <f t="shared" si="2"/>
        <v>30</v>
      </c>
      <c r="V24" s="30" t="str">
        <f t="shared" si="10"/>
        <v/>
      </c>
      <c r="W24" s="24">
        <v>20</v>
      </c>
      <c r="X24" s="24">
        <v>5</v>
      </c>
      <c r="Y24" s="27">
        <v>5</v>
      </c>
      <c r="Z24" s="39">
        <v>30</v>
      </c>
      <c r="AA24" s="45">
        <v>30</v>
      </c>
      <c r="AB24" s="20">
        <f t="shared" si="7"/>
        <v>5</v>
      </c>
      <c r="AC24" s="30">
        <v>5</v>
      </c>
      <c r="AD24" s="30">
        <f t="shared" si="11"/>
        <v>100</v>
      </c>
      <c r="AE24" s="30">
        <f t="shared" si="4"/>
        <v>40</v>
      </c>
      <c r="AF24" s="30" t="str">
        <f t="shared" si="12"/>
        <v/>
      </c>
      <c r="AG24" s="30">
        <f>SUM(AE24,U24,K24)</f>
        <v>100</v>
      </c>
      <c r="AH24" s="30" t="str">
        <f t="shared" si="5"/>
        <v>Aprobado</v>
      </c>
      <c r="AM24" s="37" t="str">
        <f t="shared" si="8"/>
        <v/>
      </c>
    </row>
    <row r="25" spans="1:39" ht="15" customHeight="1" x14ac:dyDescent="0.2">
      <c r="A25" s="21">
        <v>14</v>
      </c>
      <c r="B25" s="23"/>
      <c r="C25" s="24">
        <v>20</v>
      </c>
      <c r="D25" s="24">
        <v>5</v>
      </c>
      <c r="E25" s="24">
        <v>5</v>
      </c>
      <c r="F25" s="24">
        <v>30</v>
      </c>
      <c r="G25" s="24">
        <v>30</v>
      </c>
      <c r="H25" s="24">
        <f>calcularConcepto(C25:G25)</f>
        <v>5</v>
      </c>
      <c r="I25" s="24">
        <v>5</v>
      </c>
      <c r="J25" s="24">
        <f>SUM(C25:I25)</f>
        <v>100</v>
      </c>
      <c r="K25" s="24">
        <f>PRODUCT(J25,30%)</f>
        <v>30</v>
      </c>
      <c r="L25" s="30" t="str">
        <f t="shared" si="9"/>
        <v/>
      </c>
      <c r="M25" s="24">
        <v>20</v>
      </c>
      <c r="N25" s="24">
        <v>5</v>
      </c>
      <c r="O25" s="24">
        <v>5</v>
      </c>
      <c r="P25" s="24">
        <v>30</v>
      </c>
      <c r="Q25" s="24">
        <v>30</v>
      </c>
      <c r="R25" s="24">
        <f t="shared" si="6"/>
        <v>5</v>
      </c>
      <c r="S25" s="24">
        <v>5</v>
      </c>
      <c r="T25" s="24">
        <f t="shared" si="1"/>
        <v>100</v>
      </c>
      <c r="U25" s="24">
        <f t="shared" si="2"/>
        <v>30</v>
      </c>
      <c r="V25" s="30" t="str">
        <f t="shared" si="10"/>
        <v/>
      </c>
      <c r="W25" s="24">
        <v>20</v>
      </c>
      <c r="X25" s="24">
        <v>5</v>
      </c>
      <c r="Y25" s="27">
        <v>5</v>
      </c>
      <c r="Z25" s="39">
        <v>30</v>
      </c>
      <c r="AA25" s="45">
        <v>30</v>
      </c>
      <c r="AB25" s="20">
        <f t="shared" si="7"/>
        <v>5</v>
      </c>
      <c r="AC25" s="30">
        <v>5</v>
      </c>
      <c r="AD25" s="30">
        <f t="shared" si="11"/>
        <v>100</v>
      </c>
      <c r="AE25" s="30">
        <f t="shared" si="4"/>
        <v>40</v>
      </c>
      <c r="AF25" s="30" t="str">
        <f t="shared" si="12"/>
        <v/>
      </c>
      <c r="AG25" s="30">
        <f>SUM(AE25,U25,K25)</f>
        <v>100</v>
      </c>
      <c r="AH25" s="30" t="str">
        <f t="shared" si="5"/>
        <v>Aprobado</v>
      </c>
      <c r="AM25" s="37" t="str">
        <f t="shared" si="8"/>
        <v/>
      </c>
    </row>
    <row r="26" spans="1:39" ht="15" customHeight="1" x14ac:dyDescent="0.2">
      <c r="A26" s="21">
        <v>15</v>
      </c>
      <c r="B26" s="23"/>
      <c r="C26" s="24">
        <v>20</v>
      </c>
      <c r="D26" s="24">
        <v>5</v>
      </c>
      <c r="E26" s="24">
        <v>5</v>
      </c>
      <c r="F26" s="24">
        <v>30</v>
      </c>
      <c r="G26" s="24">
        <v>30</v>
      </c>
      <c r="H26" s="24">
        <f>calcularConcepto(C26:G26)</f>
        <v>5</v>
      </c>
      <c r="I26" s="24">
        <v>5</v>
      </c>
      <c r="J26" s="24">
        <f>SUM(C26:I26)</f>
        <v>100</v>
      </c>
      <c r="K26" s="24">
        <f>PRODUCT(J26,30%)</f>
        <v>30</v>
      </c>
      <c r="L26" s="30" t="str">
        <f t="shared" si="9"/>
        <v/>
      </c>
      <c r="M26" s="24">
        <v>20</v>
      </c>
      <c r="N26" s="24">
        <v>5</v>
      </c>
      <c r="O26" s="24">
        <v>5</v>
      </c>
      <c r="P26" s="24">
        <v>30</v>
      </c>
      <c r="Q26" s="24">
        <v>30</v>
      </c>
      <c r="R26" s="24">
        <f t="shared" si="6"/>
        <v>5</v>
      </c>
      <c r="S26" s="24">
        <v>5</v>
      </c>
      <c r="T26" s="24">
        <f t="shared" si="1"/>
        <v>100</v>
      </c>
      <c r="U26" s="24">
        <f t="shared" si="2"/>
        <v>30</v>
      </c>
      <c r="V26" s="30" t="str">
        <f t="shared" si="10"/>
        <v/>
      </c>
      <c r="W26" s="24">
        <v>20</v>
      </c>
      <c r="X26" s="24">
        <v>5</v>
      </c>
      <c r="Y26" s="27">
        <v>5</v>
      </c>
      <c r="Z26" s="39">
        <v>30</v>
      </c>
      <c r="AA26" s="45">
        <v>30</v>
      </c>
      <c r="AB26" s="20">
        <f t="shared" si="7"/>
        <v>5</v>
      </c>
      <c r="AC26" s="30">
        <v>5</v>
      </c>
      <c r="AD26" s="30">
        <f t="shared" si="11"/>
        <v>100</v>
      </c>
      <c r="AE26" s="30">
        <f t="shared" si="4"/>
        <v>40</v>
      </c>
      <c r="AF26" s="30" t="str">
        <f t="shared" si="12"/>
        <v/>
      </c>
      <c r="AG26" s="30">
        <f>SUM(AE26,U26,K26)</f>
        <v>100</v>
      </c>
      <c r="AH26" s="30" t="str">
        <f t="shared" si="5"/>
        <v>Aprobado</v>
      </c>
      <c r="AM26" s="37" t="str">
        <f t="shared" si="8"/>
        <v/>
      </c>
    </row>
    <row r="27" spans="1:39" ht="15" customHeight="1" x14ac:dyDescent="0.2">
      <c r="A27" s="21">
        <v>16</v>
      </c>
      <c r="B27" s="23"/>
      <c r="C27" s="24">
        <v>20</v>
      </c>
      <c r="D27" s="24">
        <v>5</v>
      </c>
      <c r="E27" s="24">
        <v>5</v>
      </c>
      <c r="F27" s="24">
        <v>30</v>
      </c>
      <c r="G27" s="24">
        <v>30</v>
      </c>
      <c r="H27" s="24">
        <f>calcularConcepto(C27:G27)</f>
        <v>5</v>
      </c>
      <c r="I27" s="24">
        <v>5</v>
      </c>
      <c r="J27" s="24">
        <f>SUM(C27:I27)</f>
        <v>100</v>
      </c>
      <c r="K27" s="24">
        <f>PRODUCT(J27,30%)</f>
        <v>30</v>
      </c>
      <c r="L27" s="30" t="str">
        <f t="shared" si="9"/>
        <v/>
      </c>
      <c r="M27" s="24">
        <v>20</v>
      </c>
      <c r="N27" s="24">
        <v>5</v>
      </c>
      <c r="O27" s="24">
        <v>5</v>
      </c>
      <c r="P27" s="24">
        <v>30</v>
      </c>
      <c r="Q27" s="24">
        <v>30</v>
      </c>
      <c r="R27" s="24">
        <f t="shared" si="6"/>
        <v>5</v>
      </c>
      <c r="S27" s="24">
        <v>5</v>
      </c>
      <c r="T27" s="24">
        <f t="shared" si="1"/>
        <v>100</v>
      </c>
      <c r="U27" s="24">
        <f t="shared" si="2"/>
        <v>30</v>
      </c>
      <c r="V27" s="30" t="str">
        <f t="shared" si="10"/>
        <v/>
      </c>
      <c r="W27" s="24">
        <v>20</v>
      </c>
      <c r="X27" s="24">
        <v>5</v>
      </c>
      <c r="Y27" s="27">
        <v>5</v>
      </c>
      <c r="Z27" s="39">
        <v>30</v>
      </c>
      <c r="AA27" s="45">
        <v>30</v>
      </c>
      <c r="AB27" s="20">
        <f t="shared" si="7"/>
        <v>5</v>
      </c>
      <c r="AC27" s="30">
        <v>5</v>
      </c>
      <c r="AD27" s="30">
        <f t="shared" si="11"/>
        <v>100</v>
      </c>
      <c r="AE27" s="30">
        <f t="shared" si="4"/>
        <v>40</v>
      </c>
      <c r="AF27" s="30" t="str">
        <f t="shared" si="12"/>
        <v/>
      </c>
      <c r="AG27" s="30">
        <f>SUM(AE27,U27,K27)</f>
        <v>100</v>
      </c>
      <c r="AH27" s="30" t="str">
        <f t="shared" si="5"/>
        <v>Aprobado</v>
      </c>
      <c r="AM27" s="37" t="str">
        <f t="shared" si="8"/>
        <v/>
      </c>
    </row>
    <row r="28" spans="1:39" ht="15" customHeight="1" x14ac:dyDescent="0.2">
      <c r="A28" s="21">
        <v>17</v>
      </c>
      <c r="B28" s="23"/>
      <c r="C28" s="24">
        <v>20</v>
      </c>
      <c r="D28" s="24">
        <v>5</v>
      </c>
      <c r="E28" s="24">
        <v>5</v>
      </c>
      <c r="F28" s="24">
        <v>30</v>
      </c>
      <c r="G28" s="24">
        <v>30</v>
      </c>
      <c r="H28" s="24">
        <f>calcularConcepto(C28:G28)</f>
        <v>5</v>
      </c>
      <c r="I28" s="24">
        <v>5</v>
      </c>
      <c r="J28" s="24">
        <f>SUM(C28:I28)</f>
        <v>100</v>
      </c>
      <c r="K28" s="24">
        <f>PRODUCT(J28,30%)</f>
        <v>30</v>
      </c>
      <c r="L28" s="30" t="str">
        <f>copyValue(B28)</f>
        <v/>
      </c>
      <c r="M28" s="24">
        <v>20</v>
      </c>
      <c r="N28" s="24">
        <v>5</v>
      </c>
      <c r="O28" s="24">
        <v>5</v>
      </c>
      <c r="P28" s="24">
        <v>30</v>
      </c>
      <c r="Q28" s="24">
        <v>30</v>
      </c>
      <c r="R28" s="24">
        <f t="shared" si="6"/>
        <v>5</v>
      </c>
      <c r="S28" s="24">
        <v>5</v>
      </c>
      <c r="T28" s="24">
        <f t="shared" si="1"/>
        <v>100</v>
      </c>
      <c r="U28" s="24">
        <f t="shared" si="2"/>
        <v>30</v>
      </c>
      <c r="V28" s="30" t="str">
        <f>copyValue(L28)</f>
        <v/>
      </c>
      <c r="W28" s="24">
        <v>20</v>
      </c>
      <c r="X28" s="24">
        <v>5</v>
      </c>
      <c r="Y28" s="27">
        <v>5</v>
      </c>
      <c r="Z28" s="39">
        <v>30</v>
      </c>
      <c r="AA28" s="45">
        <v>30</v>
      </c>
      <c r="AB28" s="20">
        <f t="shared" si="7"/>
        <v>5</v>
      </c>
      <c r="AC28" s="30">
        <v>5</v>
      </c>
      <c r="AD28" s="30">
        <f t="shared" si="11"/>
        <v>100</v>
      </c>
      <c r="AE28" s="30">
        <f t="shared" si="4"/>
        <v>40</v>
      </c>
      <c r="AF28" s="30" t="str">
        <f>copyValue(V28)</f>
        <v/>
      </c>
      <c r="AG28" s="30">
        <f>SUM(AE28,U28,K28)</f>
        <v>100</v>
      </c>
      <c r="AH28" s="30" t="str">
        <f t="shared" si="5"/>
        <v>Aprobado</v>
      </c>
      <c r="AM28" s="37" t="str">
        <f t="shared" si="8"/>
        <v/>
      </c>
    </row>
    <row r="29" spans="1:39" ht="15" customHeight="1" x14ac:dyDescent="0.2">
      <c r="A29" s="21">
        <v>18</v>
      </c>
      <c r="B29" s="23"/>
      <c r="C29" s="24">
        <v>20</v>
      </c>
      <c r="D29" s="24">
        <v>5</v>
      </c>
      <c r="E29" s="24">
        <v>5</v>
      </c>
      <c r="F29" s="24">
        <v>30</v>
      </c>
      <c r="G29" s="24">
        <v>30</v>
      </c>
      <c r="H29" s="24">
        <f>calcularConcepto(C29:G29)</f>
        <v>5</v>
      </c>
      <c r="I29" s="24">
        <v>5</v>
      </c>
      <c r="J29" s="24">
        <f>SUM(C29:I29)</f>
        <v>100</v>
      </c>
      <c r="K29" s="24">
        <f>PRODUCT(J29,30%)</f>
        <v>30</v>
      </c>
      <c r="L29" s="30" t="str">
        <f t="shared" si="9"/>
        <v/>
      </c>
      <c r="M29" s="24">
        <v>20</v>
      </c>
      <c r="N29" s="24">
        <v>5</v>
      </c>
      <c r="O29" s="24">
        <v>5</v>
      </c>
      <c r="P29" s="24">
        <v>30</v>
      </c>
      <c r="Q29" s="24">
        <v>30</v>
      </c>
      <c r="R29" s="24">
        <f t="shared" si="6"/>
        <v>5</v>
      </c>
      <c r="S29" s="24">
        <v>5</v>
      </c>
      <c r="T29" s="24">
        <f t="shared" si="1"/>
        <v>100</v>
      </c>
      <c r="U29" s="24">
        <f t="shared" si="2"/>
        <v>30</v>
      </c>
      <c r="V29" s="30" t="str">
        <f t="shared" si="10"/>
        <v/>
      </c>
      <c r="W29" s="24">
        <v>20</v>
      </c>
      <c r="X29" s="24">
        <v>5</v>
      </c>
      <c r="Y29" s="27">
        <v>5</v>
      </c>
      <c r="Z29" s="39">
        <v>30</v>
      </c>
      <c r="AA29" s="45">
        <v>30</v>
      </c>
      <c r="AB29" s="20">
        <f t="shared" si="7"/>
        <v>5</v>
      </c>
      <c r="AC29" s="30">
        <v>5</v>
      </c>
      <c r="AD29" s="30">
        <f t="shared" si="11"/>
        <v>100</v>
      </c>
      <c r="AE29" s="30">
        <f t="shared" si="4"/>
        <v>40</v>
      </c>
      <c r="AF29" s="30" t="str">
        <f t="shared" si="12"/>
        <v/>
      </c>
      <c r="AG29" s="30">
        <f>SUM(AE29,U29,K29)</f>
        <v>100</v>
      </c>
      <c r="AH29" s="30" t="str">
        <f t="shared" si="5"/>
        <v>Aprobado</v>
      </c>
      <c r="AM29" s="37" t="str">
        <f t="shared" si="8"/>
        <v/>
      </c>
    </row>
    <row r="30" spans="1:39" ht="15" customHeight="1" x14ac:dyDescent="0.2">
      <c r="A30" s="21">
        <v>19</v>
      </c>
      <c r="B30" s="23"/>
      <c r="C30" s="24">
        <v>20</v>
      </c>
      <c r="D30" s="24">
        <v>5</v>
      </c>
      <c r="E30" s="24">
        <v>5</v>
      </c>
      <c r="F30" s="24">
        <v>30</v>
      </c>
      <c r="G30" s="24">
        <v>30</v>
      </c>
      <c r="H30" s="24">
        <f>calcularConcepto(C30:G30)</f>
        <v>5</v>
      </c>
      <c r="I30" s="24">
        <v>5</v>
      </c>
      <c r="J30" s="24">
        <f>SUM(C30:I30)</f>
        <v>100</v>
      </c>
      <c r="K30" s="24">
        <f>PRODUCT(J30,30%)</f>
        <v>30</v>
      </c>
      <c r="L30" s="30" t="str">
        <f t="shared" si="9"/>
        <v/>
      </c>
      <c r="M30" s="24">
        <v>20</v>
      </c>
      <c r="N30" s="24">
        <v>5</v>
      </c>
      <c r="O30" s="24">
        <v>5</v>
      </c>
      <c r="P30" s="24">
        <v>30</v>
      </c>
      <c r="Q30" s="24">
        <v>30</v>
      </c>
      <c r="R30" s="24">
        <f t="shared" si="6"/>
        <v>5</v>
      </c>
      <c r="S30" s="24">
        <v>5</v>
      </c>
      <c r="T30" s="24">
        <f t="shared" si="1"/>
        <v>100</v>
      </c>
      <c r="U30" s="24">
        <f t="shared" si="2"/>
        <v>30</v>
      </c>
      <c r="V30" s="30" t="str">
        <f t="shared" si="10"/>
        <v/>
      </c>
      <c r="W30" s="24">
        <v>20</v>
      </c>
      <c r="X30" s="24">
        <v>5</v>
      </c>
      <c r="Y30" s="27">
        <v>5</v>
      </c>
      <c r="Z30" s="39">
        <v>30</v>
      </c>
      <c r="AA30" s="45">
        <v>30</v>
      </c>
      <c r="AB30" s="20">
        <f t="shared" si="7"/>
        <v>5</v>
      </c>
      <c r="AC30" s="30">
        <v>5</v>
      </c>
      <c r="AD30" s="30">
        <f t="shared" si="11"/>
        <v>100</v>
      </c>
      <c r="AE30" s="30">
        <f t="shared" si="4"/>
        <v>40</v>
      </c>
      <c r="AF30" s="30" t="str">
        <f t="shared" si="12"/>
        <v/>
      </c>
      <c r="AG30" s="30">
        <f>SUM(AE30,U30,K30)</f>
        <v>100</v>
      </c>
      <c r="AH30" s="30" t="str">
        <f t="shared" si="5"/>
        <v>Aprobado</v>
      </c>
      <c r="AM30" s="37" t="str">
        <f t="shared" si="8"/>
        <v/>
      </c>
    </row>
    <row r="31" spans="1:39" ht="15" customHeight="1" x14ac:dyDescent="0.2">
      <c r="A31" s="21">
        <v>20</v>
      </c>
      <c r="B31" s="23"/>
      <c r="C31" s="24">
        <v>20</v>
      </c>
      <c r="D31" s="24">
        <v>5</v>
      </c>
      <c r="E31" s="24">
        <v>5</v>
      </c>
      <c r="F31" s="24">
        <v>30</v>
      </c>
      <c r="G31" s="24">
        <v>30</v>
      </c>
      <c r="H31" s="24">
        <f>calcularConcepto(C31:G31)</f>
        <v>5</v>
      </c>
      <c r="I31" s="24">
        <v>5</v>
      </c>
      <c r="J31" s="24">
        <f>SUM(C31:I31)</f>
        <v>100</v>
      </c>
      <c r="K31" s="24">
        <f>PRODUCT(J31,30%)</f>
        <v>30</v>
      </c>
      <c r="L31" s="30" t="str">
        <f t="shared" si="9"/>
        <v/>
      </c>
      <c r="M31" s="24">
        <v>20</v>
      </c>
      <c r="N31" s="24">
        <v>5</v>
      </c>
      <c r="O31" s="24">
        <v>5</v>
      </c>
      <c r="P31" s="24">
        <v>30</v>
      </c>
      <c r="Q31" s="24">
        <v>30</v>
      </c>
      <c r="R31" s="24">
        <f t="shared" si="6"/>
        <v>5</v>
      </c>
      <c r="S31" s="24">
        <v>5</v>
      </c>
      <c r="T31" s="24">
        <f t="shared" si="1"/>
        <v>100</v>
      </c>
      <c r="U31" s="24">
        <f t="shared" si="2"/>
        <v>30</v>
      </c>
      <c r="V31" s="30" t="str">
        <f t="shared" si="10"/>
        <v/>
      </c>
      <c r="W31" s="24">
        <v>20</v>
      </c>
      <c r="X31" s="24">
        <v>5</v>
      </c>
      <c r="Y31" s="27">
        <v>5</v>
      </c>
      <c r="Z31" s="39">
        <v>30</v>
      </c>
      <c r="AA31" s="45">
        <v>30</v>
      </c>
      <c r="AB31" s="20">
        <f t="shared" si="7"/>
        <v>5</v>
      </c>
      <c r="AC31" s="30">
        <v>5</v>
      </c>
      <c r="AD31" s="30">
        <f t="shared" si="11"/>
        <v>100</v>
      </c>
      <c r="AE31" s="30">
        <f t="shared" si="4"/>
        <v>40</v>
      </c>
      <c r="AF31" s="30" t="str">
        <f t="shared" si="12"/>
        <v/>
      </c>
      <c r="AG31" s="30">
        <f>SUM(AE31,U31,K31)</f>
        <v>100</v>
      </c>
      <c r="AH31" s="30" t="str">
        <f t="shared" si="5"/>
        <v>Aprobado</v>
      </c>
      <c r="AM31" s="37" t="str">
        <f t="shared" si="8"/>
        <v/>
      </c>
    </row>
    <row r="32" spans="1:39" ht="15" customHeight="1" x14ac:dyDescent="0.2">
      <c r="A32" s="21">
        <v>21</v>
      </c>
      <c r="B32" s="23"/>
      <c r="C32" s="24">
        <v>20</v>
      </c>
      <c r="D32" s="24">
        <v>5</v>
      </c>
      <c r="E32" s="24">
        <v>5</v>
      </c>
      <c r="F32" s="24">
        <v>30</v>
      </c>
      <c r="G32" s="24">
        <v>30</v>
      </c>
      <c r="H32" s="24">
        <f>calcularConcepto(C32:G32)</f>
        <v>5</v>
      </c>
      <c r="I32" s="24">
        <v>5</v>
      </c>
      <c r="J32" s="24">
        <f>SUM(C32:I32)</f>
        <v>100</v>
      </c>
      <c r="K32" s="24">
        <f>PRODUCT(J32,30%)</f>
        <v>30</v>
      </c>
      <c r="L32" s="30" t="str">
        <f t="shared" si="9"/>
        <v/>
      </c>
      <c r="M32" s="24">
        <v>20</v>
      </c>
      <c r="N32" s="24">
        <v>5</v>
      </c>
      <c r="O32" s="24">
        <v>5</v>
      </c>
      <c r="P32" s="24">
        <v>30</v>
      </c>
      <c r="Q32" s="24">
        <v>30</v>
      </c>
      <c r="R32" s="24">
        <f t="shared" si="6"/>
        <v>5</v>
      </c>
      <c r="S32" s="24">
        <v>5</v>
      </c>
      <c r="T32" s="24">
        <f t="shared" si="1"/>
        <v>100</v>
      </c>
      <c r="U32" s="24">
        <f t="shared" si="2"/>
        <v>30</v>
      </c>
      <c r="V32" s="30" t="str">
        <f t="shared" si="10"/>
        <v/>
      </c>
      <c r="W32" s="24">
        <v>20</v>
      </c>
      <c r="X32" s="24">
        <v>5</v>
      </c>
      <c r="Y32" s="27">
        <v>5</v>
      </c>
      <c r="Z32" s="39">
        <v>30</v>
      </c>
      <c r="AA32" s="45">
        <v>30</v>
      </c>
      <c r="AB32" s="20">
        <f t="shared" si="7"/>
        <v>5</v>
      </c>
      <c r="AC32" s="30">
        <v>5</v>
      </c>
      <c r="AD32" s="30">
        <f t="shared" si="11"/>
        <v>100</v>
      </c>
      <c r="AE32" s="30">
        <f t="shared" si="4"/>
        <v>40</v>
      </c>
      <c r="AF32" s="30" t="str">
        <f t="shared" si="12"/>
        <v/>
      </c>
      <c r="AG32" s="30">
        <f>SUM(AE32,U32,K32)</f>
        <v>100</v>
      </c>
      <c r="AH32" s="30" t="str">
        <f t="shared" si="5"/>
        <v>Aprobado</v>
      </c>
      <c r="AM32" s="37" t="str">
        <f t="shared" si="8"/>
        <v/>
      </c>
    </row>
    <row r="33" spans="1:39" ht="15" customHeight="1" x14ac:dyDescent="0.2">
      <c r="A33" s="21">
        <v>22</v>
      </c>
      <c r="B33" s="23"/>
      <c r="C33" s="24">
        <v>20</v>
      </c>
      <c r="D33" s="24">
        <v>5</v>
      </c>
      <c r="E33" s="24">
        <v>5</v>
      </c>
      <c r="F33" s="24">
        <v>30</v>
      </c>
      <c r="G33" s="24">
        <v>30</v>
      </c>
      <c r="H33" s="24">
        <f>calcularConcepto(C33:G33)</f>
        <v>5</v>
      </c>
      <c r="I33" s="24">
        <v>5</v>
      </c>
      <c r="J33" s="24">
        <f>SUM(C33:I33)</f>
        <v>100</v>
      </c>
      <c r="K33" s="24">
        <f>PRODUCT(J33,30%)</f>
        <v>30</v>
      </c>
      <c r="L33" s="30" t="str">
        <f t="shared" si="9"/>
        <v/>
      </c>
      <c r="M33" s="24">
        <v>20</v>
      </c>
      <c r="N33" s="24">
        <v>5</v>
      </c>
      <c r="O33" s="24">
        <v>5</v>
      </c>
      <c r="P33" s="24">
        <v>30</v>
      </c>
      <c r="Q33" s="24">
        <v>30</v>
      </c>
      <c r="R33" s="24">
        <f t="shared" si="6"/>
        <v>5</v>
      </c>
      <c r="S33" s="24">
        <v>5</v>
      </c>
      <c r="T33" s="24">
        <f t="shared" si="1"/>
        <v>100</v>
      </c>
      <c r="U33" s="24">
        <f t="shared" si="2"/>
        <v>30</v>
      </c>
      <c r="V33" s="30" t="str">
        <f t="shared" si="10"/>
        <v/>
      </c>
      <c r="W33" s="24">
        <v>20</v>
      </c>
      <c r="X33" s="24">
        <v>5</v>
      </c>
      <c r="Y33" s="27">
        <v>5</v>
      </c>
      <c r="Z33" s="39">
        <v>30</v>
      </c>
      <c r="AA33" s="45">
        <v>30</v>
      </c>
      <c r="AB33" s="20">
        <f t="shared" si="7"/>
        <v>5</v>
      </c>
      <c r="AC33" s="30">
        <v>5</v>
      </c>
      <c r="AD33" s="30">
        <f t="shared" si="11"/>
        <v>100</v>
      </c>
      <c r="AE33" s="30">
        <f t="shared" si="4"/>
        <v>40</v>
      </c>
      <c r="AF33" s="30" t="str">
        <f t="shared" si="12"/>
        <v/>
      </c>
      <c r="AG33" s="30">
        <f>SUM(AE33,U33,K33)</f>
        <v>100</v>
      </c>
      <c r="AH33" s="30" t="str">
        <f t="shared" si="5"/>
        <v>Aprobado</v>
      </c>
      <c r="AM33" s="37" t="str">
        <f t="shared" si="8"/>
        <v/>
      </c>
    </row>
    <row r="34" spans="1:39" ht="15" customHeight="1" x14ac:dyDescent="0.2">
      <c r="A34" s="21">
        <v>23</v>
      </c>
      <c r="B34" s="23"/>
      <c r="C34" s="24">
        <v>20</v>
      </c>
      <c r="D34" s="24">
        <v>5</v>
      </c>
      <c r="E34" s="24">
        <v>5</v>
      </c>
      <c r="F34" s="24">
        <v>30</v>
      </c>
      <c r="G34" s="24">
        <v>30</v>
      </c>
      <c r="H34" s="24">
        <f>calcularConcepto(C34:G34)</f>
        <v>5</v>
      </c>
      <c r="I34" s="24">
        <v>5</v>
      </c>
      <c r="J34" s="24">
        <f>SUM(C34:I34)</f>
        <v>100</v>
      </c>
      <c r="K34" s="24">
        <f>PRODUCT(J34,30%)</f>
        <v>30</v>
      </c>
      <c r="L34" s="30" t="str">
        <f t="shared" si="9"/>
        <v/>
      </c>
      <c r="M34" s="24">
        <v>20</v>
      </c>
      <c r="N34" s="24">
        <v>5</v>
      </c>
      <c r="O34" s="24">
        <v>5</v>
      </c>
      <c r="P34" s="24">
        <v>30</v>
      </c>
      <c r="Q34" s="24">
        <v>30</v>
      </c>
      <c r="R34" s="24">
        <f t="shared" si="6"/>
        <v>5</v>
      </c>
      <c r="S34" s="24">
        <v>5</v>
      </c>
      <c r="T34" s="24">
        <f t="shared" si="1"/>
        <v>100</v>
      </c>
      <c r="U34" s="24">
        <f t="shared" si="2"/>
        <v>30</v>
      </c>
      <c r="V34" s="30" t="str">
        <f t="shared" si="10"/>
        <v/>
      </c>
      <c r="W34" s="24">
        <v>20</v>
      </c>
      <c r="X34" s="24">
        <v>5</v>
      </c>
      <c r="Y34" s="27">
        <v>5</v>
      </c>
      <c r="Z34" s="39">
        <v>30</v>
      </c>
      <c r="AA34" s="45">
        <v>30</v>
      </c>
      <c r="AB34" s="20">
        <f t="shared" si="7"/>
        <v>5</v>
      </c>
      <c r="AC34" s="30">
        <v>5</v>
      </c>
      <c r="AD34" s="30">
        <f t="shared" si="11"/>
        <v>100</v>
      </c>
      <c r="AE34" s="30">
        <f t="shared" si="4"/>
        <v>40</v>
      </c>
      <c r="AF34" s="30" t="str">
        <f t="shared" si="12"/>
        <v/>
      </c>
      <c r="AG34" s="30">
        <f>SUM(AE34,U34,K34)</f>
        <v>100</v>
      </c>
      <c r="AH34" s="30" t="str">
        <f t="shared" si="5"/>
        <v>Aprobado</v>
      </c>
      <c r="AM34" s="37" t="str">
        <f t="shared" si="8"/>
        <v/>
      </c>
    </row>
    <row r="35" spans="1:39" ht="15" customHeight="1" x14ac:dyDescent="0.2">
      <c r="A35" s="21">
        <v>24</v>
      </c>
      <c r="B35" s="23"/>
      <c r="C35" s="24">
        <v>20</v>
      </c>
      <c r="D35" s="24">
        <v>5</v>
      </c>
      <c r="E35" s="24">
        <v>5</v>
      </c>
      <c r="F35" s="24">
        <v>30</v>
      </c>
      <c r="G35" s="24">
        <v>30</v>
      </c>
      <c r="H35" s="24">
        <f>calcularConcepto(C35:G35)</f>
        <v>5</v>
      </c>
      <c r="I35" s="24">
        <v>5</v>
      </c>
      <c r="J35" s="24">
        <f>SUM(C35:I35)</f>
        <v>100</v>
      </c>
      <c r="K35" s="24">
        <f>PRODUCT(J35,30%)</f>
        <v>30</v>
      </c>
      <c r="L35" s="30" t="str">
        <f t="shared" si="9"/>
        <v/>
      </c>
      <c r="M35" s="24">
        <v>20</v>
      </c>
      <c r="N35" s="24">
        <v>5</v>
      </c>
      <c r="O35" s="24">
        <v>5</v>
      </c>
      <c r="P35" s="24">
        <v>30</v>
      </c>
      <c r="Q35" s="24">
        <v>30</v>
      </c>
      <c r="R35" s="24">
        <f t="shared" si="6"/>
        <v>5</v>
      </c>
      <c r="S35" s="24">
        <v>5</v>
      </c>
      <c r="T35" s="24">
        <f t="shared" si="1"/>
        <v>100</v>
      </c>
      <c r="U35" s="24">
        <f t="shared" si="2"/>
        <v>30</v>
      </c>
      <c r="V35" s="30" t="str">
        <f t="shared" si="10"/>
        <v/>
      </c>
      <c r="W35" s="24">
        <v>20</v>
      </c>
      <c r="X35" s="24">
        <v>5</v>
      </c>
      <c r="Y35" s="27">
        <v>5</v>
      </c>
      <c r="Z35" s="39">
        <v>30</v>
      </c>
      <c r="AA35" s="45">
        <v>30</v>
      </c>
      <c r="AB35" s="20">
        <f t="shared" si="7"/>
        <v>5</v>
      </c>
      <c r="AC35" s="30">
        <v>5</v>
      </c>
      <c r="AD35" s="30">
        <f t="shared" si="11"/>
        <v>100</v>
      </c>
      <c r="AE35" s="30">
        <f t="shared" si="4"/>
        <v>40</v>
      </c>
      <c r="AF35" s="30" t="str">
        <f t="shared" si="12"/>
        <v/>
      </c>
      <c r="AG35" s="30">
        <f>SUM(AE35,U35,K35)</f>
        <v>100</v>
      </c>
      <c r="AH35" s="30" t="str">
        <f t="shared" si="5"/>
        <v>Aprobado</v>
      </c>
      <c r="AM35" s="37" t="str">
        <f t="shared" si="8"/>
        <v/>
      </c>
    </row>
    <row r="36" spans="1:39" ht="15" customHeight="1" x14ac:dyDescent="0.2">
      <c r="A36" s="21">
        <v>25</v>
      </c>
      <c r="B36" s="23"/>
      <c r="C36" s="24">
        <v>20</v>
      </c>
      <c r="D36" s="24">
        <v>5</v>
      </c>
      <c r="E36" s="24">
        <v>5</v>
      </c>
      <c r="F36" s="24">
        <v>30</v>
      </c>
      <c r="G36" s="24">
        <v>30</v>
      </c>
      <c r="H36" s="24">
        <f>calcularConcepto(C36:G36)</f>
        <v>5</v>
      </c>
      <c r="I36" s="24">
        <v>5</v>
      </c>
      <c r="J36" s="24">
        <f>SUM(C36:I36)</f>
        <v>100</v>
      </c>
      <c r="K36" s="24">
        <f>PRODUCT(J36,30%)</f>
        <v>30</v>
      </c>
      <c r="L36" s="30" t="str">
        <f t="shared" si="9"/>
        <v/>
      </c>
      <c r="M36" s="24">
        <v>20</v>
      </c>
      <c r="N36" s="24">
        <v>5</v>
      </c>
      <c r="O36" s="24">
        <v>5</v>
      </c>
      <c r="P36" s="24">
        <v>30</v>
      </c>
      <c r="Q36" s="24">
        <v>30</v>
      </c>
      <c r="R36" s="24">
        <f t="shared" si="6"/>
        <v>5</v>
      </c>
      <c r="S36" s="24">
        <v>5</v>
      </c>
      <c r="T36" s="24">
        <f t="shared" si="1"/>
        <v>100</v>
      </c>
      <c r="U36" s="24">
        <f t="shared" si="2"/>
        <v>30</v>
      </c>
      <c r="V36" s="30" t="str">
        <f t="shared" si="10"/>
        <v/>
      </c>
      <c r="W36" s="24">
        <v>20</v>
      </c>
      <c r="X36" s="24">
        <v>5</v>
      </c>
      <c r="Y36" s="27">
        <v>5</v>
      </c>
      <c r="Z36" s="39">
        <v>30</v>
      </c>
      <c r="AA36" s="45">
        <v>30</v>
      </c>
      <c r="AB36" s="20">
        <f t="shared" si="7"/>
        <v>5</v>
      </c>
      <c r="AC36" s="30">
        <v>5</v>
      </c>
      <c r="AD36" s="30">
        <f t="shared" si="11"/>
        <v>100</v>
      </c>
      <c r="AE36" s="30">
        <f t="shared" si="4"/>
        <v>40</v>
      </c>
      <c r="AF36" s="30" t="str">
        <f t="shared" si="12"/>
        <v/>
      </c>
      <c r="AG36" s="30">
        <f>SUM(AE36,U36,K36)</f>
        <v>100</v>
      </c>
      <c r="AH36" s="30" t="str">
        <f t="shared" si="5"/>
        <v>Aprobado</v>
      </c>
      <c r="AM36" s="37" t="str">
        <f t="shared" si="8"/>
        <v/>
      </c>
    </row>
    <row r="37" spans="1:39" ht="15" customHeight="1" x14ac:dyDescent="0.2">
      <c r="A37" s="21">
        <v>26</v>
      </c>
      <c r="B37" s="23"/>
      <c r="C37" s="24">
        <v>20</v>
      </c>
      <c r="D37" s="24">
        <v>5</v>
      </c>
      <c r="E37" s="24">
        <v>5</v>
      </c>
      <c r="F37" s="24">
        <v>30</v>
      </c>
      <c r="G37" s="24">
        <v>30</v>
      </c>
      <c r="H37" s="24">
        <f>calcularConcepto(C37:G37)</f>
        <v>5</v>
      </c>
      <c r="I37" s="24">
        <v>5</v>
      </c>
      <c r="J37" s="24">
        <f>SUM(C37:I37)</f>
        <v>100</v>
      </c>
      <c r="K37" s="24">
        <f>PRODUCT(J37,30%)</f>
        <v>30</v>
      </c>
      <c r="L37" s="30" t="str">
        <f t="shared" si="9"/>
        <v/>
      </c>
      <c r="M37" s="24">
        <v>20</v>
      </c>
      <c r="N37" s="24">
        <v>5</v>
      </c>
      <c r="O37" s="24">
        <v>5</v>
      </c>
      <c r="P37" s="24">
        <v>30</v>
      </c>
      <c r="Q37" s="24">
        <v>30</v>
      </c>
      <c r="R37" s="24">
        <f t="shared" si="6"/>
        <v>5</v>
      </c>
      <c r="S37" s="24">
        <v>5</v>
      </c>
      <c r="T37" s="24">
        <f t="shared" si="1"/>
        <v>100</v>
      </c>
      <c r="U37" s="24">
        <f t="shared" si="2"/>
        <v>30</v>
      </c>
      <c r="V37" s="30" t="str">
        <f t="shared" si="10"/>
        <v/>
      </c>
      <c r="W37" s="24">
        <v>20</v>
      </c>
      <c r="X37" s="24">
        <v>5</v>
      </c>
      <c r="Y37" s="27">
        <v>5</v>
      </c>
      <c r="Z37" s="39">
        <v>30</v>
      </c>
      <c r="AA37" s="45">
        <v>30</v>
      </c>
      <c r="AB37" s="20">
        <f t="shared" si="7"/>
        <v>5</v>
      </c>
      <c r="AC37" s="30">
        <v>5</v>
      </c>
      <c r="AD37" s="30">
        <f t="shared" si="11"/>
        <v>100</v>
      </c>
      <c r="AE37" s="30">
        <f t="shared" si="4"/>
        <v>40</v>
      </c>
      <c r="AF37" s="30" t="str">
        <f t="shared" si="12"/>
        <v/>
      </c>
      <c r="AG37" s="30">
        <f>SUM(AE37,U37,K37)</f>
        <v>100</v>
      </c>
      <c r="AH37" s="30" t="str">
        <f t="shared" si="5"/>
        <v>Aprobado</v>
      </c>
      <c r="AM37" s="37" t="str">
        <f t="shared" si="8"/>
        <v/>
      </c>
    </row>
    <row r="38" spans="1:39" ht="15" customHeight="1" x14ac:dyDescent="0.2">
      <c r="A38" s="21">
        <v>27</v>
      </c>
      <c r="B38" s="23"/>
      <c r="C38" s="24">
        <v>20</v>
      </c>
      <c r="D38" s="24">
        <v>5</v>
      </c>
      <c r="E38" s="24">
        <v>5</v>
      </c>
      <c r="F38" s="24">
        <v>30</v>
      </c>
      <c r="G38" s="24">
        <v>30</v>
      </c>
      <c r="H38" s="24">
        <f>calcularConcepto(C38:G38)</f>
        <v>5</v>
      </c>
      <c r="I38" s="24">
        <v>5</v>
      </c>
      <c r="J38" s="24">
        <f>SUM(C38:I38)</f>
        <v>100</v>
      </c>
      <c r="K38" s="24">
        <f>PRODUCT(J38,30%)</f>
        <v>30</v>
      </c>
      <c r="L38" s="30" t="str">
        <f t="shared" si="9"/>
        <v/>
      </c>
      <c r="M38" s="24">
        <v>20</v>
      </c>
      <c r="N38" s="24">
        <v>5</v>
      </c>
      <c r="O38" s="24">
        <v>5</v>
      </c>
      <c r="P38" s="24">
        <v>30</v>
      </c>
      <c r="Q38" s="24">
        <v>30</v>
      </c>
      <c r="R38" s="24">
        <f t="shared" si="6"/>
        <v>5</v>
      </c>
      <c r="S38" s="24">
        <v>5</v>
      </c>
      <c r="T38" s="24">
        <f t="shared" si="1"/>
        <v>100</v>
      </c>
      <c r="U38" s="24">
        <f t="shared" si="2"/>
        <v>30</v>
      </c>
      <c r="V38" s="30" t="str">
        <f t="shared" si="10"/>
        <v/>
      </c>
      <c r="W38" s="24">
        <v>20</v>
      </c>
      <c r="X38" s="24">
        <v>5</v>
      </c>
      <c r="Y38" s="27">
        <v>5</v>
      </c>
      <c r="Z38" s="39">
        <v>30</v>
      </c>
      <c r="AA38" s="45">
        <v>30</v>
      </c>
      <c r="AB38" s="20">
        <f t="shared" si="7"/>
        <v>5</v>
      </c>
      <c r="AC38" s="30">
        <v>5</v>
      </c>
      <c r="AD38" s="30">
        <f t="shared" si="11"/>
        <v>100</v>
      </c>
      <c r="AE38" s="30">
        <f t="shared" si="4"/>
        <v>40</v>
      </c>
      <c r="AF38" s="30" t="str">
        <f t="shared" si="12"/>
        <v/>
      </c>
      <c r="AG38" s="30">
        <f>SUM(AE38,U38,K38)</f>
        <v>100</v>
      </c>
      <c r="AH38" s="30" t="str">
        <f t="shared" si="5"/>
        <v>Aprobado</v>
      </c>
      <c r="AM38" s="37" t="str">
        <f t="shared" si="8"/>
        <v/>
      </c>
    </row>
    <row r="39" spans="1:39" ht="15" customHeight="1" x14ac:dyDescent="0.2">
      <c r="A39" s="21">
        <v>28</v>
      </c>
      <c r="B39" s="23"/>
      <c r="C39" s="24">
        <v>20</v>
      </c>
      <c r="D39" s="24">
        <v>5</v>
      </c>
      <c r="E39" s="24">
        <v>5</v>
      </c>
      <c r="F39" s="24">
        <v>30</v>
      </c>
      <c r="G39" s="24">
        <v>30</v>
      </c>
      <c r="H39" s="24">
        <f>calcularConcepto(C39:G39)</f>
        <v>5</v>
      </c>
      <c r="I39" s="24">
        <v>5</v>
      </c>
      <c r="J39" s="24">
        <f>SUM(C39:I39)</f>
        <v>100</v>
      </c>
      <c r="K39" s="24">
        <f>PRODUCT(J39,30%)</f>
        <v>30</v>
      </c>
      <c r="L39" s="30" t="str">
        <f t="shared" si="9"/>
        <v/>
      </c>
      <c r="M39" s="24">
        <v>20</v>
      </c>
      <c r="N39" s="24">
        <v>5</v>
      </c>
      <c r="O39" s="24">
        <v>5</v>
      </c>
      <c r="P39" s="24">
        <v>30</v>
      </c>
      <c r="Q39" s="24">
        <v>30</v>
      </c>
      <c r="R39" s="24">
        <f t="shared" si="6"/>
        <v>5</v>
      </c>
      <c r="S39" s="24">
        <v>5</v>
      </c>
      <c r="T39" s="24">
        <f t="shared" si="1"/>
        <v>100</v>
      </c>
      <c r="U39" s="24">
        <f t="shared" si="2"/>
        <v>30</v>
      </c>
      <c r="V39" s="30" t="str">
        <f t="shared" si="10"/>
        <v/>
      </c>
      <c r="W39" s="24">
        <v>20</v>
      </c>
      <c r="X39" s="24">
        <v>5</v>
      </c>
      <c r="Y39" s="27">
        <v>5</v>
      </c>
      <c r="Z39" s="39">
        <v>30</v>
      </c>
      <c r="AA39" s="45">
        <v>30</v>
      </c>
      <c r="AB39" s="20">
        <f t="shared" si="7"/>
        <v>5</v>
      </c>
      <c r="AC39" s="30">
        <v>5</v>
      </c>
      <c r="AD39" s="30">
        <f t="shared" si="11"/>
        <v>100</v>
      </c>
      <c r="AE39" s="30">
        <f t="shared" si="4"/>
        <v>40</v>
      </c>
      <c r="AF39" s="30" t="str">
        <f t="shared" si="12"/>
        <v/>
      </c>
      <c r="AG39" s="30">
        <f>SUM(AE39,U39,K39)</f>
        <v>100</v>
      </c>
      <c r="AH39" s="30" t="str">
        <f t="shared" si="5"/>
        <v>Aprobado</v>
      </c>
      <c r="AM39" s="37" t="str">
        <f t="shared" si="8"/>
        <v/>
      </c>
    </row>
    <row r="40" spans="1:39" ht="15" customHeight="1" x14ac:dyDescent="0.2">
      <c r="A40" s="21">
        <v>29</v>
      </c>
      <c r="B40" s="23"/>
      <c r="C40" s="24">
        <v>20</v>
      </c>
      <c r="D40" s="24">
        <v>5</v>
      </c>
      <c r="E40" s="24">
        <v>5</v>
      </c>
      <c r="F40" s="24">
        <v>30</v>
      </c>
      <c r="G40" s="24">
        <v>30</v>
      </c>
      <c r="H40" s="24">
        <f>calcularConcepto(C40:G40)</f>
        <v>5</v>
      </c>
      <c r="I40" s="24">
        <v>5</v>
      </c>
      <c r="J40" s="24">
        <f>SUM(C40:I40)</f>
        <v>100</v>
      </c>
      <c r="K40" s="24">
        <f>PRODUCT(J40,30%)</f>
        <v>30</v>
      </c>
      <c r="L40" s="30" t="str">
        <f t="shared" si="9"/>
        <v/>
      </c>
      <c r="M40" s="24">
        <v>20</v>
      </c>
      <c r="N40" s="24">
        <v>5</v>
      </c>
      <c r="O40" s="24">
        <v>5</v>
      </c>
      <c r="P40" s="24">
        <v>30</v>
      </c>
      <c r="Q40" s="24">
        <v>30</v>
      </c>
      <c r="R40" s="24">
        <f t="shared" si="6"/>
        <v>5</v>
      </c>
      <c r="S40" s="24">
        <v>5</v>
      </c>
      <c r="T40" s="24">
        <f t="shared" si="1"/>
        <v>100</v>
      </c>
      <c r="U40" s="24">
        <f t="shared" si="2"/>
        <v>30</v>
      </c>
      <c r="V40" s="30" t="str">
        <f t="shared" si="10"/>
        <v/>
      </c>
      <c r="W40" s="24">
        <v>20</v>
      </c>
      <c r="X40" s="24">
        <v>5</v>
      </c>
      <c r="Y40" s="27">
        <v>5</v>
      </c>
      <c r="Z40" s="39">
        <v>30</v>
      </c>
      <c r="AA40" s="45">
        <v>30</v>
      </c>
      <c r="AB40" s="20">
        <f t="shared" si="7"/>
        <v>5</v>
      </c>
      <c r="AC40" s="30">
        <v>5</v>
      </c>
      <c r="AD40" s="30">
        <f t="shared" si="11"/>
        <v>100</v>
      </c>
      <c r="AE40" s="30">
        <f t="shared" si="4"/>
        <v>40</v>
      </c>
      <c r="AF40" s="30" t="str">
        <f t="shared" si="12"/>
        <v/>
      </c>
      <c r="AG40" s="30">
        <f>SUM(AE40,U40,K40)</f>
        <v>100</v>
      </c>
      <c r="AH40" s="30" t="str">
        <f t="shared" si="5"/>
        <v>Aprobado</v>
      </c>
      <c r="AM40" s="37" t="str">
        <f t="shared" si="8"/>
        <v/>
      </c>
    </row>
    <row r="41" spans="1:39" ht="15" customHeight="1" x14ac:dyDescent="0.2">
      <c r="A41" s="21">
        <v>30</v>
      </c>
      <c r="B41" s="23"/>
      <c r="C41" s="24">
        <v>20</v>
      </c>
      <c r="D41" s="24">
        <v>5</v>
      </c>
      <c r="E41" s="24">
        <v>5</v>
      </c>
      <c r="F41" s="24">
        <v>30</v>
      </c>
      <c r="G41" s="24">
        <v>30</v>
      </c>
      <c r="H41" s="24">
        <f>calcularConcepto(C41:G41)</f>
        <v>5</v>
      </c>
      <c r="I41" s="24">
        <v>5</v>
      </c>
      <c r="J41" s="24">
        <f>SUM(C41:I41)</f>
        <v>100</v>
      </c>
      <c r="K41" s="24">
        <f>PRODUCT(J41,30%)</f>
        <v>30</v>
      </c>
      <c r="L41" s="30" t="str">
        <f t="shared" si="9"/>
        <v/>
      </c>
      <c r="M41" s="24">
        <v>20</v>
      </c>
      <c r="N41" s="24">
        <v>5</v>
      </c>
      <c r="O41" s="24">
        <v>5</v>
      </c>
      <c r="P41" s="24">
        <v>30</v>
      </c>
      <c r="Q41" s="24">
        <v>30</v>
      </c>
      <c r="R41" s="24">
        <f t="shared" si="6"/>
        <v>5</v>
      </c>
      <c r="S41" s="24">
        <v>5</v>
      </c>
      <c r="T41" s="24">
        <f t="shared" si="1"/>
        <v>100</v>
      </c>
      <c r="U41" s="24">
        <f t="shared" si="2"/>
        <v>30</v>
      </c>
      <c r="V41" s="30" t="str">
        <f t="shared" si="10"/>
        <v/>
      </c>
      <c r="W41" s="24">
        <v>20</v>
      </c>
      <c r="X41" s="24">
        <v>5</v>
      </c>
      <c r="Y41" s="27">
        <v>5</v>
      </c>
      <c r="Z41" s="39">
        <v>30</v>
      </c>
      <c r="AA41" s="45">
        <v>30</v>
      </c>
      <c r="AB41" s="20">
        <f t="shared" si="7"/>
        <v>5</v>
      </c>
      <c r="AC41" s="30">
        <v>5</v>
      </c>
      <c r="AD41" s="30">
        <f t="shared" si="11"/>
        <v>100</v>
      </c>
      <c r="AE41" s="30">
        <f t="shared" si="4"/>
        <v>40</v>
      </c>
      <c r="AF41" s="30" t="str">
        <f t="shared" si="12"/>
        <v/>
      </c>
      <c r="AG41" s="30">
        <f>SUM(AE41,U41,K41)</f>
        <v>100</v>
      </c>
      <c r="AH41" s="30" t="str">
        <f t="shared" si="5"/>
        <v>Aprobado</v>
      </c>
      <c r="AM41" s="37" t="str">
        <f t="shared" si="8"/>
        <v/>
      </c>
    </row>
    <row r="42" spans="1:39" ht="15" customHeight="1" x14ac:dyDescent="0.2">
      <c r="A42" s="21">
        <v>31</v>
      </c>
      <c r="B42" s="23"/>
      <c r="C42" s="24">
        <v>20</v>
      </c>
      <c r="D42" s="24">
        <v>5</v>
      </c>
      <c r="E42" s="24">
        <v>5</v>
      </c>
      <c r="F42" s="24">
        <v>30</v>
      </c>
      <c r="G42" s="24">
        <v>30</v>
      </c>
      <c r="H42" s="24">
        <f>calcularConcepto(C42:G42)</f>
        <v>5</v>
      </c>
      <c r="I42" s="24">
        <v>5</v>
      </c>
      <c r="J42" s="24">
        <f>SUM(C42:I42)</f>
        <v>100</v>
      </c>
      <c r="K42" s="24">
        <f>PRODUCT(J42,30%)</f>
        <v>30</v>
      </c>
      <c r="L42" s="30" t="str">
        <f>copyValue(B42)</f>
        <v/>
      </c>
      <c r="M42" s="24">
        <v>20</v>
      </c>
      <c r="N42" s="24">
        <v>5</v>
      </c>
      <c r="O42" s="24">
        <v>5</v>
      </c>
      <c r="P42" s="24">
        <v>30</v>
      </c>
      <c r="Q42" s="24">
        <v>30</v>
      </c>
      <c r="R42" s="24">
        <f t="shared" si="6"/>
        <v>5</v>
      </c>
      <c r="S42" s="24">
        <v>5</v>
      </c>
      <c r="T42" s="24">
        <f t="shared" si="1"/>
        <v>100</v>
      </c>
      <c r="U42" s="24">
        <f t="shared" si="2"/>
        <v>30</v>
      </c>
      <c r="V42" s="30" t="str">
        <f>copyValue(L42)</f>
        <v/>
      </c>
      <c r="W42" s="24">
        <v>20</v>
      </c>
      <c r="X42" s="24">
        <v>5</v>
      </c>
      <c r="Y42" s="27">
        <v>5</v>
      </c>
      <c r="Z42" s="39">
        <v>30</v>
      </c>
      <c r="AA42" s="45">
        <v>30</v>
      </c>
      <c r="AB42" s="20">
        <f t="shared" si="7"/>
        <v>5</v>
      </c>
      <c r="AC42" s="30">
        <v>5</v>
      </c>
      <c r="AD42" s="30">
        <f t="shared" si="11"/>
        <v>100</v>
      </c>
      <c r="AE42" s="30">
        <f t="shared" si="4"/>
        <v>40</v>
      </c>
      <c r="AF42" s="30" t="str">
        <f>copyValue(V42)</f>
        <v/>
      </c>
      <c r="AG42" s="30">
        <f>SUM(AE42,U42,K42)</f>
        <v>100</v>
      </c>
      <c r="AH42" s="30" t="str">
        <f t="shared" si="5"/>
        <v>Aprobado</v>
      </c>
      <c r="AM42" s="37" t="str">
        <f t="shared" si="8"/>
        <v/>
      </c>
    </row>
    <row r="43" spans="1:39" ht="15" customHeight="1" x14ac:dyDescent="0.2">
      <c r="A43" s="21">
        <v>32</v>
      </c>
      <c r="B43" s="23"/>
      <c r="C43" s="24">
        <v>20</v>
      </c>
      <c r="D43" s="24">
        <v>5</v>
      </c>
      <c r="E43" s="24">
        <v>5</v>
      </c>
      <c r="F43" s="24">
        <v>30</v>
      </c>
      <c r="G43" s="24">
        <v>30</v>
      </c>
      <c r="H43" s="24">
        <f>calcularConcepto(C43:G43)</f>
        <v>5</v>
      </c>
      <c r="I43" s="24">
        <v>5</v>
      </c>
      <c r="J43" s="24">
        <f>SUM(C43:I43)</f>
        <v>100</v>
      </c>
      <c r="K43" s="24">
        <f>PRODUCT(J43,30%)</f>
        <v>30</v>
      </c>
      <c r="L43" s="30" t="str">
        <f t="shared" si="9"/>
        <v/>
      </c>
      <c r="M43" s="24">
        <v>20</v>
      </c>
      <c r="N43" s="24">
        <v>5</v>
      </c>
      <c r="O43" s="24">
        <v>5</v>
      </c>
      <c r="P43" s="24">
        <v>30</v>
      </c>
      <c r="Q43" s="24">
        <v>30</v>
      </c>
      <c r="R43" s="24">
        <f t="shared" si="6"/>
        <v>5</v>
      </c>
      <c r="S43" s="24">
        <v>5</v>
      </c>
      <c r="T43" s="24">
        <f t="shared" si="1"/>
        <v>100</v>
      </c>
      <c r="U43" s="24">
        <f t="shared" si="2"/>
        <v>30</v>
      </c>
      <c r="V43" s="30" t="str">
        <f t="shared" si="10"/>
        <v/>
      </c>
      <c r="W43" s="24">
        <v>20</v>
      </c>
      <c r="X43" s="24">
        <v>5</v>
      </c>
      <c r="Y43" s="27">
        <v>5</v>
      </c>
      <c r="Z43" s="39">
        <v>30</v>
      </c>
      <c r="AA43" s="45">
        <v>30</v>
      </c>
      <c r="AB43" s="20">
        <f t="shared" si="7"/>
        <v>5</v>
      </c>
      <c r="AC43" s="30">
        <v>5</v>
      </c>
      <c r="AD43" s="30">
        <f t="shared" si="11"/>
        <v>100</v>
      </c>
      <c r="AE43" s="30">
        <f t="shared" si="4"/>
        <v>40</v>
      </c>
      <c r="AF43" s="30" t="str">
        <f t="shared" si="12"/>
        <v/>
      </c>
      <c r="AG43" s="30">
        <f>SUM(AE43,U43,K43)</f>
        <v>100</v>
      </c>
      <c r="AH43" s="30" t="str">
        <f t="shared" si="5"/>
        <v>Aprobado</v>
      </c>
      <c r="AM43" s="37" t="str">
        <f t="shared" si="8"/>
        <v/>
      </c>
    </row>
    <row r="44" spans="1:39" ht="15" customHeight="1" x14ac:dyDescent="0.2">
      <c r="A44" s="21">
        <v>33</v>
      </c>
      <c r="B44" s="23"/>
      <c r="C44" s="24">
        <v>20</v>
      </c>
      <c r="D44" s="24">
        <v>5</v>
      </c>
      <c r="E44" s="24">
        <v>5</v>
      </c>
      <c r="F44" s="24">
        <v>30</v>
      </c>
      <c r="G44" s="24">
        <v>30</v>
      </c>
      <c r="H44" s="24">
        <f>calcularConcepto(C44:G44)</f>
        <v>5</v>
      </c>
      <c r="I44" s="24">
        <v>5</v>
      </c>
      <c r="J44" s="24">
        <f>SUM(C44:I44)</f>
        <v>100</v>
      </c>
      <c r="K44" s="24">
        <f>PRODUCT(J44,30%)</f>
        <v>30</v>
      </c>
      <c r="L44" s="30" t="str">
        <f t="shared" si="9"/>
        <v/>
      </c>
      <c r="M44" s="24">
        <v>20</v>
      </c>
      <c r="N44" s="24">
        <v>5</v>
      </c>
      <c r="O44" s="24">
        <v>5</v>
      </c>
      <c r="P44" s="24">
        <v>30</v>
      </c>
      <c r="Q44" s="24">
        <v>30</v>
      </c>
      <c r="R44" s="24">
        <f t="shared" si="6"/>
        <v>5</v>
      </c>
      <c r="S44" s="24">
        <v>5</v>
      </c>
      <c r="T44" s="24">
        <f t="shared" si="1"/>
        <v>100</v>
      </c>
      <c r="U44" s="24">
        <f t="shared" si="2"/>
        <v>30</v>
      </c>
      <c r="V44" s="30" t="str">
        <f t="shared" si="10"/>
        <v/>
      </c>
      <c r="W44" s="24">
        <v>20</v>
      </c>
      <c r="X44" s="24">
        <v>5</v>
      </c>
      <c r="Y44" s="27">
        <v>5</v>
      </c>
      <c r="Z44" s="39">
        <v>30</v>
      </c>
      <c r="AA44" s="45">
        <v>30</v>
      </c>
      <c r="AB44" s="20">
        <f t="shared" si="7"/>
        <v>5</v>
      </c>
      <c r="AC44" s="30">
        <v>5</v>
      </c>
      <c r="AD44" s="30">
        <f t="shared" si="11"/>
        <v>100</v>
      </c>
      <c r="AE44" s="30">
        <f t="shared" si="4"/>
        <v>40</v>
      </c>
      <c r="AF44" s="30" t="str">
        <f t="shared" si="12"/>
        <v/>
      </c>
      <c r="AG44" s="30">
        <f>SUM(AE44,U44,K44)</f>
        <v>100</v>
      </c>
      <c r="AH44" s="30" t="str">
        <f t="shared" si="5"/>
        <v>Aprobado</v>
      </c>
      <c r="AM44" s="37" t="str">
        <f t="shared" si="8"/>
        <v/>
      </c>
    </row>
    <row r="45" spans="1:39" ht="15" customHeight="1" x14ac:dyDescent="0.2">
      <c r="A45" s="21">
        <v>34</v>
      </c>
      <c r="B45" s="23"/>
      <c r="C45" s="24">
        <v>20</v>
      </c>
      <c r="D45" s="24">
        <v>5</v>
      </c>
      <c r="E45" s="24">
        <v>5</v>
      </c>
      <c r="F45" s="24">
        <v>30</v>
      </c>
      <c r="G45" s="24">
        <v>30</v>
      </c>
      <c r="H45" s="24">
        <f>calcularConcepto(C45:G45)</f>
        <v>5</v>
      </c>
      <c r="I45" s="24">
        <v>5</v>
      </c>
      <c r="J45" s="24">
        <f>SUM(C45:I45)</f>
        <v>100</v>
      </c>
      <c r="K45" s="24">
        <f>PRODUCT(J45,30%)</f>
        <v>30</v>
      </c>
      <c r="L45" s="30" t="str">
        <f t="shared" si="9"/>
        <v/>
      </c>
      <c r="M45" s="24">
        <v>20</v>
      </c>
      <c r="N45" s="24">
        <v>5</v>
      </c>
      <c r="O45" s="24">
        <v>5</v>
      </c>
      <c r="P45" s="24">
        <v>30</v>
      </c>
      <c r="Q45" s="24">
        <v>30</v>
      </c>
      <c r="R45" s="24">
        <f t="shared" si="6"/>
        <v>5</v>
      </c>
      <c r="S45" s="24">
        <v>5</v>
      </c>
      <c r="T45" s="24">
        <f t="shared" si="1"/>
        <v>100</v>
      </c>
      <c r="U45" s="24">
        <f t="shared" si="2"/>
        <v>30</v>
      </c>
      <c r="V45" s="30" t="str">
        <f t="shared" si="10"/>
        <v/>
      </c>
      <c r="W45" s="24">
        <v>20</v>
      </c>
      <c r="X45" s="24">
        <v>5</v>
      </c>
      <c r="Y45" s="27">
        <v>5</v>
      </c>
      <c r="Z45" s="39">
        <v>30</v>
      </c>
      <c r="AA45" s="45">
        <v>30</v>
      </c>
      <c r="AB45" s="20">
        <f t="shared" si="7"/>
        <v>5</v>
      </c>
      <c r="AC45" s="30">
        <v>5</v>
      </c>
      <c r="AD45" s="30">
        <f t="shared" si="11"/>
        <v>100</v>
      </c>
      <c r="AE45" s="30">
        <f t="shared" si="4"/>
        <v>40</v>
      </c>
      <c r="AF45" s="30" t="str">
        <f t="shared" si="12"/>
        <v/>
      </c>
      <c r="AG45" s="30">
        <f>SUM(AE45,U45,K45)</f>
        <v>100</v>
      </c>
      <c r="AH45" s="30" t="str">
        <f t="shared" si="5"/>
        <v>Aprobado</v>
      </c>
      <c r="AM45" s="37" t="str">
        <f t="shared" si="8"/>
        <v/>
      </c>
    </row>
    <row r="46" spans="1:39" ht="15" customHeight="1" x14ac:dyDescent="0.2">
      <c r="A46" s="21">
        <v>35</v>
      </c>
      <c r="B46" s="23"/>
      <c r="C46" s="24">
        <v>20</v>
      </c>
      <c r="D46" s="24">
        <v>5</v>
      </c>
      <c r="E46" s="24">
        <v>5</v>
      </c>
      <c r="F46" s="24">
        <v>30</v>
      </c>
      <c r="G46" s="24">
        <v>30</v>
      </c>
      <c r="H46" s="24">
        <f>calcularConcepto(C46:G46)</f>
        <v>5</v>
      </c>
      <c r="I46" s="24">
        <v>5</v>
      </c>
      <c r="J46" s="24">
        <f>SUM(C46:I46)</f>
        <v>100</v>
      </c>
      <c r="K46" s="24">
        <f>PRODUCT(J46,30%)</f>
        <v>30</v>
      </c>
      <c r="L46" s="30" t="str">
        <f t="shared" si="9"/>
        <v/>
      </c>
      <c r="M46" s="24">
        <v>20</v>
      </c>
      <c r="N46" s="24">
        <v>5</v>
      </c>
      <c r="O46" s="24">
        <v>5</v>
      </c>
      <c r="P46" s="24">
        <v>30</v>
      </c>
      <c r="Q46" s="24">
        <v>30</v>
      </c>
      <c r="R46" s="24">
        <f t="shared" si="6"/>
        <v>5</v>
      </c>
      <c r="S46" s="24">
        <v>5</v>
      </c>
      <c r="T46" s="24">
        <f t="shared" si="1"/>
        <v>100</v>
      </c>
      <c r="U46" s="24">
        <f t="shared" si="2"/>
        <v>30</v>
      </c>
      <c r="V46" s="30" t="str">
        <f t="shared" si="10"/>
        <v/>
      </c>
      <c r="W46" s="24">
        <v>20</v>
      </c>
      <c r="X46" s="24">
        <v>5</v>
      </c>
      <c r="Y46" s="27">
        <v>5</v>
      </c>
      <c r="Z46" s="39">
        <v>30</v>
      </c>
      <c r="AA46" s="45">
        <v>30</v>
      </c>
      <c r="AB46" s="20">
        <f t="shared" si="7"/>
        <v>5</v>
      </c>
      <c r="AC46" s="30">
        <v>5</v>
      </c>
      <c r="AD46" s="30">
        <f t="shared" si="11"/>
        <v>100</v>
      </c>
      <c r="AE46" s="30">
        <f t="shared" si="4"/>
        <v>40</v>
      </c>
      <c r="AF46" s="30" t="str">
        <f t="shared" si="12"/>
        <v/>
      </c>
      <c r="AG46" s="30">
        <f>SUM(AE46,U46,K46)</f>
        <v>100</v>
      </c>
      <c r="AH46" s="30" t="str">
        <f t="shared" si="5"/>
        <v>Aprobado</v>
      </c>
      <c r="AM46" s="37" t="str">
        <f t="shared" si="8"/>
        <v/>
      </c>
    </row>
    <row r="47" spans="1:39" ht="15" customHeight="1" x14ac:dyDescent="0.2">
      <c r="A47" s="21">
        <v>36</v>
      </c>
      <c r="B47" s="23"/>
      <c r="C47" s="24">
        <v>20</v>
      </c>
      <c r="D47" s="24">
        <v>5</v>
      </c>
      <c r="E47" s="24">
        <v>5</v>
      </c>
      <c r="F47" s="24">
        <v>30</v>
      </c>
      <c r="G47" s="24">
        <v>30</v>
      </c>
      <c r="H47" s="24">
        <f>calcularConcepto(C47:G47)</f>
        <v>5</v>
      </c>
      <c r="I47" s="24">
        <v>5</v>
      </c>
      <c r="J47" s="24">
        <f>SUM(C47:I47)</f>
        <v>100</v>
      </c>
      <c r="K47" s="24">
        <f>PRODUCT(J47,30%)</f>
        <v>30</v>
      </c>
      <c r="L47" s="30" t="str">
        <f t="shared" si="9"/>
        <v/>
      </c>
      <c r="M47" s="24">
        <v>20</v>
      </c>
      <c r="N47" s="24">
        <v>5</v>
      </c>
      <c r="O47" s="24">
        <v>5</v>
      </c>
      <c r="P47" s="24">
        <v>30</v>
      </c>
      <c r="Q47" s="24">
        <v>30</v>
      </c>
      <c r="R47" s="24">
        <f t="shared" si="6"/>
        <v>5</v>
      </c>
      <c r="S47" s="24">
        <v>5</v>
      </c>
      <c r="T47" s="24">
        <f t="shared" si="1"/>
        <v>100</v>
      </c>
      <c r="U47" s="24">
        <f t="shared" si="2"/>
        <v>30</v>
      </c>
      <c r="V47" s="30" t="str">
        <f t="shared" si="10"/>
        <v/>
      </c>
      <c r="W47" s="24">
        <v>20</v>
      </c>
      <c r="X47" s="24">
        <v>5</v>
      </c>
      <c r="Y47" s="27">
        <v>5</v>
      </c>
      <c r="Z47" s="39">
        <v>30</v>
      </c>
      <c r="AA47" s="45">
        <v>30</v>
      </c>
      <c r="AB47" s="20">
        <f t="shared" si="7"/>
        <v>5</v>
      </c>
      <c r="AC47" s="30">
        <v>5</v>
      </c>
      <c r="AD47" s="30">
        <f t="shared" si="11"/>
        <v>100</v>
      </c>
      <c r="AE47" s="30">
        <f t="shared" si="4"/>
        <v>40</v>
      </c>
      <c r="AF47" s="30" t="str">
        <f t="shared" si="12"/>
        <v/>
      </c>
      <c r="AG47" s="30">
        <f>SUM(AE47,U47,K47)</f>
        <v>100</v>
      </c>
      <c r="AH47" s="30" t="str">
        <f t="shared" si="5"/>
        <v>Aprobado</v>
      </c>
      <c r="AM47" s="37" t="str">
        <f t="shared" si="8"/>
        <v/>
      </c>
    </row>
    <row r="48" spans="1:39" ht="15" customHeight="1" x14ac:dyDescent="0.2">
      <c r="A48" s="21">
        <v>37</v>
      </c>
      <c r="B48" s="23"/>
      <c r="C48" s="24">
        <v>20</v>
      </c>
      <c r="D48" s="24">
        <v>5</v>
      </c>
      <c r="E48" s="24">
        <v>5</v>
      </c>
      <c r="F48" s="24">
        <v>30</v>
      </c>
      <c r="G48" s="24">
        <v>30</v>
      </c>
      <c r="H48" s="24">
        <f>calcularConcepto(C48:G48)</f>
        <v>5</v>
      </c>
      <c r="I48" s="24">
        <v>5</v>
      </c>
      <c r="J48" s="24">
        <f>SUM(C48:I48)</f>
        <v>100</v>
      </c>
      <c r="K48" s="24">
        <f>PRODUCT(J48,30%)</f>
        <v>30</v>
      </c>
      <c r="L48" s="30" t="str">
        <f t="shared" si="9"/>
        <v/>
      </c>
      <c r="M48" s="24">
        <v>20</v>
      </c>
      <c r="N48" s="24">
        <v>5</v>
      </c>
      <c r="O48" s="24">
        <v>5</v>
      </c>
      <c r="P48" s="24">
        <v>30</v>
      </c>
      <c r="Q48" s="24">
        <v>30</v>
      </c>
      <c r="R48" s="24">
        <f t="shared" si="6"/>
        <v>5</v>
      </c>
      <c r="S48" s="24">
        <v>5</v>
      </c>
      <c r="T48" s="24">
        <f t="shared" si="1"/>
        <v>100</v>
      </c>
      <c r="U48" s="24">
        <f t="shared" si="2"/>
        <v>30</v>
      </c>
      <c r="V48" s="30" t="str">
        <f t="shared" si="10"/>
        <v/>
      </c>
      <c r="W48" s="24">
        <v>20</v>
      </c>
      <c r="X48" s="24">
        <v>5</v>
      </c>
      <c r="Y48" s="27">
        <v>5</v>
      </c>
      <c r="Z48" s="39">
        <v>30</v>
      </c>
      <c r="AA48" s="45">
        <v>30</v>
      </c>
      <c r="AB48" s="20">
        <f t="shared" si="7"/>
        <v>5</v>
      </c>
      <c r="AC48" s="30">
        <v>5</v>
      </c>
      <c r="AD48" s="30">
        <f t="shared" si="11"/>
        <v>100</v>
      </c>
      <c r="AE48" s="30">
        <f t="shared" si="4"/>
        <v>40</v>
      </c>
      <c r="AF48" s="30" t="str">
        <f t="shared" si="12"/>
        <v/>
      </c>
      <c r="AG48" s="30">
        <f>SUM(AE48,U48,K48)</f>
        <v>100</v>
      </c>
      <c r="AH48" s="30" t="str">
        <f t="shared" si="5"/>
        <v>Aprobado</v>
      </c>
      <c r="AM48" s="37" t="str">
        <f t="shared" si="8"/>
        <v/>
      </c>
    </row>
    <row r="49" spans="1:39" ht="15" customHeight="1" x14ac:dyDescent="0.2">
      <c r="A49" s="21">
        <v>38</v>
      </c>
      <c r="B49" s="25"/>
      <c r="C49" s="26">
        <v>20</v>
      </c>
      <c r="D49" s="26">
        <v>5</v>
      </c>
      <c r="E49" s="26">
        <v>5</v>
      </c>
      <c r="F49" s="26">
        <v>30</v>
      </c>
      <c r="G49" s="26">
        <v>30</v>
      </c>
      <c r="H49" s="26">
        <f>calcularConcepto(C49:G49)</f>
        <v>5</v>
      </c>
      <c r="I49" s="26">
        <v>5</v>
      </c>
      <c r="J49" s="26">
        <f>SUM(C49:I49)</f>
        <v>100</v>
      </c>
      <c r="K49" s="26">
        <f>PRODUCT(J49,30%)</f>
        <v>30</v>
      </c>
      <c r="L49" s="30" t="str">
        <f t="shared" si="9"/>
        <v/>
      </c>
      <c r="M49" s="26">
        <v>20</v>
      </c>
      <c r="N49" s="26">
        <v>5</v>
      </c>
      <c r="O49" s="26">
        <v>5</v>
      </c>
      <c r="P49" s="26">
        <v>30</v>
      </c>
      <c r="Q49" s="26">
        <v>30</v>
      </c>
      <c r="R49" s="26">
        <f t="shared" si="6"/>
        <v>5</v>
      </c>
      <c r="S49" s="26">
        <v>5</v>
      </c>
      <c r="T49" s="26">
        <f t="shared" si="1"/>
        <v>100</v>
      </c>
      <c r="U49" s="26">
        <f t="shared" si="2"/>
        <v>30</v>
      </c>
      <c r="V49" s="30" t="str">
        <f t="shared" si="10"/>
        <v/>
      </c>
      <c r="W49" s="26">
        <v>20</v>
      </c>
      <c r="X49" s="26">
        <v>5</v>
      </c>
      <c r="Y49" s="27">
        <v>5</v>
      </c>
      <c r="Z49" s="40">
        <v>30</v>
      </c>
      <c r="AA49" s="46">
        <v>30</v>
      </c>
      <c r="AB49" s="20">
        <f t="shared" si="7"/>
        <v>5</v>
      </c>
      <c r="AC49" s="30">
        <v>5</v>
      </c>
      <c r="AD49" s="30">
        <f t="shared" si="11"/>
        <v>100</v>
      </c>
      <c r="AE49" s="30">
        <f t="shared" si="4"/>
        <v>40</v>
      </c>
      <c r="AF49" s="30" t="str">
        <f t="shared" si="12"/>
        <v/>
      </c>
      <c r="AG49" s="30">
        <f>SUM(AE49,U49,K49)</f>
        <v>100</v>
      </c>
      <c r="AH49" s="30" t="str">
        <f t="shared" si="5"/>
        <v>Aprobado</v>
      </c>
      <c r="AM49" s="37" t="str">
        <f t="shared" si="8"/>
        <v/>
      </c>
    </row>
    <row r="50" spans="1:39" ht="12.75" customHeight="1" x14ac:dyDescent="0.2">
      <c r="A50" s="27"/>
      <c r="B50" s="27"/>
      <c r="AF50" s="7"/>
      <c r="AI50" s="20"/>
      <c r="AM50" s="37" t="str">
        <f t="shared" si="8"/>
        <v/>
      </c>
    </row>
    <row r="51" spans="1:39" ht="16.5" customHeight="1" x14ac:dyDescent="0.2">
      <c r="A51" s="27"/>
      <c r="B51" s="27"/>
      <c r="AI51" s="20"/>
    </row>
    <row r="52" spans="1:39" ht="25.5" customHeight="1" x14ac:dyDescent="0.2"/>
    <row r="53" spans="1:39" ht="12.75" x14ac:dyDescent="0.2"/>
    <row r="54" spans="1:39" ht="12.75" x14ac:dyDescent="0.2"/>
    <row r="55" spans="1:39" ht="12.75" x14ac:dyDescent="0.2"/>
    <row r="57" spans="1:39" ht="15.75" customHeight="1" x14ac:dyDescent="0.2">
      <c r="C57" s="37"/>
    </row>
  </sheetData>
  <mergeCells count="18">
    <mergeCell ref="M8:U8"/>
    <mergeCell ref="M2:T2"/>
    <mergeCell ref="C8:K8"/>
    <mergeCell ref="H9:K9"/>
    <mergeCell ref="C3:F3"/>
    <mergeCell ref="P9:Q9"/>
    <mergeCell ref="N9:O9"/>
    <mergeCell ref="R9:U9"/>
    <mergeCell ref="P3:Q3"/>
    <mergeCell ref="R3:S3"/>
    <mergeCell ref="F9:G9"/>
    <mergeCell ref="D9:E9"/>
    <mergeCell ref="N3:O3"/>
    <mergeCell ref="AM9:AO9"/>
    <mergeCell ref="W8:AE8"/>
    <mergeCell ref="X9:Y9"/>
    <mergeCell ref="Z9:AA9"/>
    <mergeCell ref="AB9:AE9"/>
  </mergeCells>
  <conditionalFormatting sqref="C8:K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20</xdr:col>
                    <xdr:colOff>304800</xdr:colOff>
                    <xdr:row>1</xdr:row>
                    <xdr:rowOff>57150</xdr:rowOff>
                  </from>
                  <to>
                    <xdr:col>20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2016-01-04T19:42:14Z</dcterms:modified>
</cp:coreProperties>
</file>