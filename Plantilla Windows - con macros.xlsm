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I11" i="1" l="1"/>
  <c r="AH11" i="1"/>
  <c r="AG11" i="1"/>
  <c r="AF11" i="1"/>
  <c r="AE11" i="1"/>
  <c r="AD11" i="1"/>
  <c r="AC11" i="1"/>
  <c r="AB11" i="1"/>
  <c r="AA11" i="1"/>
  <c r="V11" i="1"/>
  <c r="W11" i="1"/>
  <c r="U11" i="1"/>
  <c r="T11" i="1"/>
  <c r="S11" i="1"/>
  <c r="R11" i="1"/>
  <c r="Q11" i="1"/>
  <c r="P11" i="1"/>
  <c r="O11" i="1"/>
  <c r="K11" i="1"/>
  <c r="J11" i="1"/>
  <c r="I11" i="1"/>
  <c r="H11" i="1"/>
  <c r="G11" i="1"/>
  <c r="F11" i="1"/>
  <c r="E11" i="1"/>
  <c r="D11" i="1"/>
  <c r="C11" i="1"/>
  <c r="AH47" i="1"/>
  <c r="AH43" i="1"/>
  <c r="AH39" i="1"/>
  <c r="AH35" i="1"/>
  <c r="AH31" i="1"/>
  <c r="AH27" i="1"/>
  <c r="AH23" i="1"/>
  <c r="AH46" i="1"/>
  <c r="AH42" i="1"/>
  <c r="AH38" i="1"/>
  <c r="AH34" i="1"/>
  <c r="AH30" i="1"/>
  <c r="AH26" i="1"/>
  <c r="AH22" i="1"/>
  <c r="AH18" i="1"/>
  <c r="AH14" i="1"/>
  <c r="AH19" i="1"/>
  <c r="AH15" i="1"/>
  <c r="AH12" i="1"/>
  <c r="V49" i="1"/>
  <c r="V45" i="1"/>
  <c r="V41" i="1"/>
  <c r="V37" i="1"/>
  <c r="V33" i="1"/>
  <c r="V29" i="1"/>
  <c r="V25" i="1"/>
  <c r="V21" i="1"/>
  <c r="V17" i="1"/>
  <c r="V13" i="1"/>
  <c r="V46" i="1"/>
  <c r="V42" i="1"/>
  <c r="V38" i="1"/>
  <c r="V34" i="1"/>
  <c r="V30" i="1"/>
  <c r="V26" i="1"/>
  <c r="V22" i="1"/>
  <c r="V18" i="1"/>
  <c r="V14" i="1"/>
  <c r="J49" i="1"/>
  <c r="J46" i="1"/>
  <c r="J42" i="1"/>
  <c r="J38" i="1"/>
  <c r="J34" i="1"/>
  <c r="J30" i="1"/>
  <c r="J26" i="1"/>
  <c r="J22" i="1"/>
  <c r="J18" i="1"/>
  <c r="J14" i="1"/>
  <c r="J45" i="1"/>
  <c r="J41" i="1"/>
  <c r="J37" i="1"/>
  <c r="J33" i="1"/>
  <c r="J29" i="1"/>
  <c r="J25" i="1"/>
  <c r="J21" i="1"/>
  <c r="J17" i="1"/>
  <c r="J13" i="1"/>
  <c r="J19" i="1"/>
  <c r="J12" i="1"/>
  <c r="AH49" i="1"/>
  <c r="AH45" i="1"/>
  <c r="AH41" i="1"/>
  <c r="AH37" i="1"/>
  <c r="AH33" i="1"/>
  <c r="AH29" i="1"/>
  <c r="AH25" i="1"/>
  <c r="AH48" i="1"/>
  <c r="AH44" i="1"/>
  <c r="AH40" i="1"/>
  <c r="AH36" i="1"/>
  <c r="AH32" i="1"/>
  <c r="AH28" i="1"/>
  <c r="AH24" i="1"/>
  <c r="AH20" i="1"/>
  <c r="AH16" i="1"/>
  <c r="AH21" i="1"/>
  <c r="AH17" i="1"/>
  <c r="AH13" i="1"/>
  <c r="V47" i="1"/>
  <c r="V43" i="1"/>
  <c r="V39" i="1"/>
  <c r="V35" i="1"/>
  <c r="V31" i="1"/>
  <c r="V27" i="1"/>
  <c r="V23" i="1"/>
  <c r="V19" i="1"/>
  <c r="V15" i="1"/>
  <c r="V48" i="1"/>
  <c r="V44" i="1"/>
  <c r="V40" i="1"/>
  <c r="V36" i="1"/>
  <c r="V32" i="1"/>
  <c r="V28" i="1"/>
  <c r="V24" i="1"/>
  <c r="V20" i="1"/>
  <c r="V16" i="1"/>
  <c r="V12" i="1"/>
  <c r="J48" i="1"/>
  <c r="J44" i="1"/>
  <c r="J40" i="1"/>
  <c r="J36" i="1"/>
  <c r="J32" i="1"/>
  <c r="J28" i="1"/>
  <c r="J24" i="1"/>
  <c r="J20" i="1"/>
  <c r="J16" i="1"/>
  <c r="J47" i="1"/>
  <c r="J43" i="1"/>
  <c r="J39" i="1"/>
  <c r="J35" i="1"/>
  <c r="J31" i="1"/>
  <c r="J27" i="1"/>
  <c r="J23" i="1"/>
  <c r="J15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AS31" i="1"/>
  <c r="AS35" i="1"/>
  <c r="AS34" i="1"/>
  <c r="AS43" i="1"/>
  <c r="AS15" i="1"/>
  <c r="AS20" i="1"/>
  <c r="AS38" i="1"/>
  <c r="AS18" i="1"/>
  <c r="AS32" i="1"/>
  <c r="AS36" i="1"/>
  <c r="AS45" i="1"/>
  <c r="AS17" i="1"/>
  <c r="AS42" i="1"/>
  <c r="AS47" i="1"/>
  <c r="AS19" i="1"/>
  <c r="AS29" i="1"/>
  <c r="AS44" i="1"/>
  <c r="AS22" i="1"/>
  <c r="AS50" i="1"/>
  <c r="AS28" i="1"/>
  <c r="AS37" i="1"/>
  <c r="AS41" i="1"/>
  <c r="AS40" i="1"/>
  <c r="AS49" i="1"/>
  <c r="AS21" i="1"/>
  <c r="AS46" i="1"/>
  <c r="AS14" i="1"/>
  <c r="AS24" i="1"/>
  <c r="AS27" i="1"/>
  <c r="AS26" i="1"/>
  <c r="AS30" i="1"/>
  <c r="AS39" i="1"/>
  <c r="AS48" i="1"/>
  <c r="AS16" i="1"/>
  <c r="AS25" i="1"/>
  <c r="AS23" i="1"/>
  <c r="AS33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N48" i="1"/>
  <c r="N26" i="1"/>
  <c r="N19" i="1"/>
  <c r="N13" i="1"/>
  <c r="N32" i="1"/>
  <c r="N29" i="1"/>
  <c r="N43" i="1"/>
  <c r="N44" i="1"/>
  <c r="N22" i="1"/>
  <c r="Z11" i="1"/>
  <c r="N15" i="1"/>
  <c r="N25" i="1"/>
  <c r="N31" i="1"/>
  <c r="N38" i="1"/>
  <c r="N46" i="1"/>
  <c r="N40" i="1"/>
  <c r="N17" i="1"/>
  <c r="N36" i="1"/>
  <c r="N30" i="1"/>
  <c r="N12" i="1"/>
  <c r="N35" i="1"/>
  <c r="N16" i="1"/>
  <c r="N24" i="1"/>
  <c r="N39" i="1"/>
  <c r="N28" i="1"/>
  <c r="N45" i="1"/>
  <c r="N23" i="1"/>
  <c r="N27" i="1"/>
  <c r="N18" i="1"/>
  <c r="N41" i="1"/>
  <c r="N33" i="1"/>
  <c r="N47" i="1"/>
  <c r="N21" i="1"/>
  <c r="N34" i="1"/>
  <c r="N42" i="1"/>
  <c r="N37" i="1"/>
  <c r="N14" i="1"/>
  <c r="N49" i="1"/>
  <c r="N20" i="1"/>
  <c r="AM13" i="1" l="1"/>
  <c r="AN13" i="1" s="1"/>
  <c r="M14" i="1"/>
  <c r="Y14" i="1"/>
  <c r="AM14" i="1" s="1"/>
  <c r="AN14" i="1" s="1"/>
  <c r="Z28" i="1"/>
  <c r="Z21" i="1"/>
  <c r="Z46" i="1"/>
  <c r="Z17" i="1"/>
  <c r="Z33" i="1"/>
  <c r="Z39" i="1"/>
  <c r="Z14" i="1"/>
  <c r="Z18" i="1"/>
  <c r="Z34" i="1"/>
  <c r="Z29" i="1"/>
  <c r="Z43" i="1"/>
  <c r="Z35" i="1"/>
  <c r="Z41" i="1"/>
  <c r="Z25" i="1"/>
  <c r="Z16" i="1"/>
  <c r="Z47" i="1"/>
  <c r="Z31" i="1"/>
  <c r="Z27" i="1"/>
  <c r="Z20" i="1"/>
  <c r="Z30" i="1"/>
  <c r="Z13" i="1"/>
  <c r="Z32" i="1"/>
  <c r="Z24" i="1"/>
  <c r="Z36" i="1"/>
  <c r="Z19" i="1"/>
  <c r="Z45" i="1"/>
  <c r="Z15" i="1"/>
  <c r="Z44" i="1"/>
  <c r="Z48" i="1"/>
  <c r="Z49" i="1"/>
  <c r="AL11" i="1"/>
  <c r="Z40" i="1"/>
  <c r="Z37" i="1"/>
  <c r="Z23" i="1"/>
  <c r="Z22" i="1"/>
  <c r="Z26" i="1"/>
  <c r="Z38" i="1"/>
  <c r="Z42" i="1"/>
  <c r="Z12" i="1"/>
  <c r="M15" i="1" l="1"/>
  <c r="Y15" i="1"/>
  <c r="AL31" i="1"/>
  <c r="AL16" i="1"/>
  <c r="AL39" i="1"/>
  <c r="AL13" i="1"/>
  <c r="AL44" i="1"/>
  <c r="AL26" i="1"/>
  <c r="AL27" i="1"/>
  <c r="AL33" i="1"/>
  <c r="AL20" i="1"/>
  <c r="AL28" i="1"/>
  <c r="AL37" i="1"/>
  <c r="AL22" i="1"/>
  <c r="AL38" i="1"/>
  <c r="AL19" i="1"/>
  <c r="AL43" i="1"/>
  <c r="AL30" i="1"/>
  <c r="AL15" i="1"/>
  <c r="AL21" i="1"/>
  <c r="AL32" i="1"/>
  <c r="AL42" i="1"/>
  <c r="AL48" i="1"/>
  <c r="AL23" i="1"/>
  <c r="AL41" i="1"/>
  <c r="AL45" i="1"/>
  <c r="AL47" i="1"/>
  <c r="AL14" i="1"/>
  <c r="AL24" i="1"/>
  <c r="AL34" i="1"/>
  <c r="AL36" i="1"/>
  <c r="AL29" i="1"/>
  <c r="AL25" i="1"/>
  <c r="AL49" i="1"/>
  <c r="AL35" i="1"/>
  <c r="AL18" i="1"/>
  <c r="AL17" i="1"/>
  <c r="AL40" i="1"/>
  <c r="AL46" i="1"/>
  <c r="AL12" i="1"/>
  <c r="AM15" i="1" l="1"/>
  <c r="AN15" i="1" s="1"/>
  <c r="M16" i="1"/>
  <c r="Y16" i="1"/>
  <c r="AM16" i="1" s="1"/>
  <c r="AN16" i="1" s="1"/>
  <c r="M17" i="1" l="1"/>
  <c r="Y17" i="1"/>
  <c r="AM17" i="1" l="1"/>
  <c r="AN17" i="1" s="1"/>
  <c r="M18" i="1"/>
  <c r="Y18" i="1"/>
  <c r="AM18" i="1" s="1"/>
  <c r="AN18" i="1" s="1"/>
  <c r="M19" i="1" l="1"/>
  <c r="Y19" i="1"/>
  <c r="AM19" i="1" s="1"/>
  <c r="AN19" i="1" s="1"/>
  <c r="M20" i="1" l="1"/>
  <c r="Y20" i="1"/>
  <c r="AM20" i="1" l="1"/>
  <c r="AN20" i="1" s="1"/>
  <c r="M21" i="1"/>
  <c r="Y21" i="1"/>
  <c r="AM21" i="1" l="1"/>
  <c r="AN21" i="1" s="1"/>
  <c r="M22" i="1"/>
  <c r="Y22" i="1"/>
  <c r="AM22" i="1" l="1"/>
  <c r="AN22" i="1" s="1"/>
  <c r="M23" i="1"/>
  <c r="Y23" i="1"/>
  <c r="AM23" i="1" l="1"/>
  <c r="AN23" i="1" s="1"/>
  <c r="M24" i="1"/>
  <c r="Y24" i="1"/>
  <c r="AM24" i="1" l="1"/>
  <c r="AN24" i="1" s="1"/>
  <c r="M25" i="1"/>
  <c r="Y25" i="1"/>
  <c r="AM25" i="1" l="1"/>
  <c r="AN25" i="1" s="1"/>
  <c r="M26" i="1"/>
  <c r="Y26" i="1"/>
  <c r="AM26" i="1" l="1"/>
  <c r="AN26" i="1" s="1"/>
  <c r="M27" i="1"/>
  <c r="Y27" i="1"/>
  <c r="AM27" i="1" l="1"/>
  <c r="AN27" i="1" s="1"/>
  <c r="M28" i="1"/>
  <c r="Y28" i="1"/>
  <c r="AM28" i="1" s="1"/>
  <c r="AN28" i="1" s="1"/>
  <c r="M29" i="1" l="1"/>
  <c r="Y29" i="1"/>
  <c r="AM29" i="1" s="1"/>
  <c r="AN29" i="1" s="1"/>
  <c r="M30" i="1" l="1"/>
  <c r="Y30" i="1"/>
  <c r="AM30" i="1" s="1"/>
  <c r="AN30" i="1" s="1"/>
  <c r="M31" i="1" l="1"/>
  <c r="Y31" i="1"/>
  <c r="AM31" i="1" s="1"/>
  <c r="AN31" i="1" s="1"/>
  <c r="M32" i="1" l="1"/>
  <c r="Y32" i="1"/>
  <c r="AM32" i="1" s="1"/>
  <c r="AN32" i="1" s="1"/>
  <c r="M33" i="1" l="1"/>
  <c r="Y33" i="1"/>
  <c r="AM33" i="1" s="1"/>
  <c r="AN33" i="1" s="1"/>
  <c r="M34" i="1" l="1"/>
  <c r="Y34" i="1"/>
  <c r="AM34" i="1" s="1"/>
  <c r="AN34" i="1" s="1"/>
  <c r="M35" i="1" l="1"/>
  <c r="Y35" i="1"/>
  <c r="AM35" i="1" s="1"/>
  <c r="AN35" i="1" s="1"/>
  <c r="M36" i="1" l="1"/>
  <c r="Y36" i="1"/>
  <c r="AM36" i="1" s="1"/>
  <c r="AN36" i="1" s="1"/>
  <c r="M37" i="1" l="1"/>
  <c r="Y37" i="1"/>
  <c r="AM37" i="1" s="1"/>
  <c r="AN37" i="1" s="1"/>
  <c r="M38" i="1" l="1"/>
  <c r="Y38" i="1"/>
  <c r="AM38" i="1" l="1"/>
  <c r="AN38" i="1" s="1"/>
  <c r="M39" i="1"/>
  <c r="Y39" i="1"/>
  <c r="AM39" i="1" s="1"/>
  <c r="AN39" i="1" s="1"/>
  <c r="M40" i="1" l="1"/>
  <c r="Y40" i="1"/>
  <c r="AM40" i="1" l="1"/>
  <c r="AN40" i="1" s="1"/>
  <c r="M41" i="1"/>
  <c r="Y41" i="1"/>
  <c r="AM41" i="1" s="1"/>
  <c r="AN41" i="1" s="1"/>
  <c r="M42" i="1" l="1"/>
  <c r="Y42" i="1"/>
  <c r="AM42" i="1" s="1"/>
  <c r="AN42" i="1" s="1"/>
  <c r="M43" i="1" l="1"/>
  <c r="Y43" i="1"/>
  <c r="AM43" i="1" s="1"/>
  <c r="AN43" i="1" s="1"/>
  <c r="M44" i="1" l="1"/>
  <c r="Y44" i="1"/>
  <c r="AM44" i="1" s="1"/>
  <c r="AN44" i="1" s="1"/>
  <c r="M45" i="1" l="1"/>
  <c r="Y45" i="1"/>
  <c r="AM45" i="1" s="1"/>
  <c r="AN45" i="1" s="1"/>
  <c r="M46" i="1" l="1"/>
  <c r="Y46" i="1"/>
  <c r="AM46" i="1" s="1"/>
  <c r="AN46" i="1" s="1"/>
  <c r="M47" i="1" l="1"/>
  <c r="Y47" i="1"/>
  <c r="AM47" i="1" s="1"/>
  <c r="AN47" i="1" s="1"/>
  <c r="M48" i="1" l="1"/>
  <c r="Y48" i="1"/>
  <c r="AM48" i="1" s="1"/>
  <c r="AN48" i="1" s="1"/>
  <c r="M49" i="1" l="1"/>
  <c r="Y49" i="1"/>
  <c r="AM49" i="1" s="1"/>
  <c r="AN49" i="1" s="1"/>
  <c r="Y12" i="1" l="1"/>
  <c r="AM12" i="1" s="1"/>
  <c r="AN12" i="1" s="1"/>
  <c r="AJ11" i="1"/>
  <c r="X11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<sst xmlns="http://schemas.openxmlformats.org/spreadsheetml/2006/main" count="69" uniqueCount="33">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</sst>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F1" zoomScale="50" zoomScaleNormal="50" workbookViewId="0">
      <selection activeCell="Y5" sqref="Y5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32.85546875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9.425781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9.8554687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45" t="s">
        <v>24</v>
      </c>
      <c r="P2" s="46"/>
      <c r="Q2" s="46"/>
      <c r="R2" s="46"/>
      <c r="S2" s="46"/>
      <c r="T2" s="46"/>
      <c r="U2" s="46"/>
      <c r="V2" s="46"/>
      <c r="W2" s="46"/>
      <c r="X2" s="47"/>
    </row>
    <row r="3" spans="1:47" ht="21" x14ac:dyDescent="0.2">
      <c r="C3" s="63" t="s">
        <v>0</v>
      </c>
      <c r="D3" s="64"/>
      <c r="E3" s="64"/>
      <c r="F3" s="64"/>
      <c r="G3"/>
      <c r="H3"/>
      <c r="I3"/>
      <c r="J3"/>
      <c r="K3"/>
      <c r="L3"/>
      <c r="O3" s="35"/>
      <c r="P3" s="60" t="s">
        <v>10</v>
      </c>
      <c r="Q3" s="58"/>
      <c r="R3" s="68" t="s">
        <v>11</v>
      </c>
      <c r="S3" s="69"/>
      <c r="T3" s="69"/>
      <c r="U3" s="70"/>
      <c r="V3" s="57"/>
      <c r="W3" s="58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48" t="s">
        <v>7</v>
      </c>
      <c r="D8" s="49"/>
      <c r="E8" s="49"/>
      <c r="F8" s="49"/>
      <c r="G8" s="49"/>
      <c r="H8" s="49"/>
      <c r="I8" s="49"/>
      <c r="J8" s="49"/>
      <c r="K8" s="49"/>
      <c r="L8" s="49"/>
      <c r="M8" s="50"/>
      <c r="N8" s="30"/>
      <c r="O8" s="42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72" t="s">
        <v>9</v>
      </c>
      <c r="AB8" s="43"/>
      <c r="AC8" s="43"/>
      <c r="AD8" s="43"/>
      <c r="AE8" s="43"/>
      <c r="AF8" s="43"/>
      <c r="AG8" s="43"/>
      <c r="AH8" s="43"/>
      <c r="AI8" s="43"/>
      <c r="AJ8" s="43"/>
      <c r="AK8" s="44"/>
      <c r="AL8" s="7"/>
      <c r="AM8" s="7"/>
      <c r="AN8" s="7"/>
      <c r="AO8" s="7"/>
    </row>
    <row r="9" spans="1:47" ht="23.25" x14ac:dyDescent="0.2">
      <c r="A9" s="25"/>
      <c r="C9" s="3"/>
      <c r="D9" s="59" t="s">
        <v>10</v>
      </c>
      <c r="E9" s="53"/>
      <c r="F9" s="59" t="s">
        <v>11</v>
      </c>
      <c r="G9" s="61"/>
      <c r="H9" s="61"/>
      <c r="I9" s="62"/>
      <c r="J9" s="51"/>
      <c r="K9" s="52"/>
      <c r="L9" s="52"/>
      <c r="M9" s="53"/>
      <c r="N9" s="30"/>
      <c r="O9" s="31"/>
      <c r="P9" s="54" t="s">
        <v>10</v>
      </c>
      <c r="Q9" s="55"/>
      <c r="R9" s="65" t="s">
        <v>11</v>
      </c>
      <c r="S9" s="66"/>
      <c r="T9" s="66"/>
      <c r="U9" s="67"/>
      <c r="V9" s="56"/>
      <c r="W9" s="52"/>
      <c r="X9" s="52"/>
      <c r="Y9" s="53"/>
      <c r="AA9" s="32"/>
      <c r="AB9" s="73" t="s">
        <v>10</v>
      </c>
      <c r="AC9" s="55"/>
      <c r="AD9" s="75" t="s">
        <v>11</v>
      </c>
      <c r="AE9" s="76"/>
      <c r="AF9" s="76"/>
      <c r="AG9" s="77"/>
      <c r="AH9" s="74"/>
      <c r="AI9" s="52"/>
      <c r="AJ9" s="52"/>
      <c r="AK9" s="53"/>
      <c r="AS9" s="71"/>
      <c r="AT9" s="71"/>
      <c r="AU9" s="71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f>copyValue(O5)</f>
        <v>20</v>
      </c>
      <c r="D11" s="5">
        <f>copyValue(P5)</f>
        <v>5</v>
      </c>
      <c r="E11" s="5">
        <f>copyValue(Q5)</f>
        <v>5</v>
      </c>
      <c r="F11" s="5">
        <f>copyValue(R5)</f>
        <v>100</v>
      </c>
      <c r="G11" s="5">
        <f>copyValue(S5)</f>
        <v>30</v>
      </c>
      <c r="H11" s="5">
        <f>copyValue(T5)</f>
        <v>100</v>
      </c>
      <c r="I11" s="5">
        <f>copyValue(U5)</f>
        <v>30</v>
      </c>
      <c r="J11" s="5">
        <f>copyValue(V5)</f>
        <v>5</v>
      </c>
      <c r="K11" s="5">
        <f>copyValue(W5)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f>copyValue(O5)</f>
        <v>20</v>
      </c>
      <c r="P11" s="16">
        <f>copyValue(P5)</f>
        <v>5</v>
      </c>
      <c r="Q11" s="16">
        <f>copyValue(Q5)</f>
        <v>5</v>
      </c>
      <c r="R11" s="16">
        <f>copyValue(R5)</f>
        <v>100</v>
      </c>
      <c r="S11" s="16">
        <f>copyValue(S5)</f>
        <v>30</v>
      </c>
      <c r="T11" s="16">
        <f>copyValue(T5)</f>
        <v>100</v>
      </c>
      <c r="U11" s="16">
        <f>copyValue(U5)</f>
        <v>30</v>
      </c>
      <c r="V11" s="16">
        <f>copyValue(V5)</f>
        <v>5</v>
      </c>
      <c r="W11" s="16">
        <f>copyValue(W5)</f>
        <v>5</v>
      </c>
      <c r="X11" s="16">
        <f>SUM(O11,P11,Q11,S11,U11,V11,W11)</f>
        <v>100</v>
      </c>
      <c r="Y11" s="16">
        <f t="shared" ref="Y11:Y49" si="2">PRODUCT(X11,30%)</f>
        <v>30</v>
      </c>
      <c r="Z11" s="40" t="str">
        <f>copyValue(N11)</f>
        <v>Estudiantes</v>
      </c>
      <c r="AA11" s="17">
        <f>copyValue(O5)</f>
        <v>20</v>
      </c>
      <c r="AB11" s="17">
        <f>copyValue(P5)</f>
        <v>5</v>
      </c>
      <c r="AC11" s="17">
        <f>copyValue(Q5)</f>
        <v>5</v>
      </c>
      <c r="AD11" s="17">
        <f>copyValue(R5)</f>
        <v>100</v>
      </c>
      <c r="AE11" s="17">
        <f>copyValue(S5)</f>
        <v>30</v>
      </c>
      <c r="AF11" s="17">
        <f>copyValue(T5)</f>
        <v>100</v>
      </c>
      <c r="AG11" s="17">
        <f>copyValue(U5)</f>
        <v>30</v>
      </c>
      <c r="AH11" s="17">
        <f>copyValue(V5)</f>
        <v>5</v>
      </c>
      <c r="AI11" s="17">
        <f>copyValue(W5)</f>
        <v>5</v>
      </c>
      <c r="AJ11" s="17">
        <f>SUM(AA11,AB11,AC11,AE11,AG11,AH11,AI11)</f>
        <v>100</v>
      </c>
      <c r="AK11" s="17">
        <f t="shared" ref="AK11:AK49" si="3">PRODUCT(AJ11,40%)</f>
        <v>40</v>
      </c>
      <c r="AL11" s="39" t="str">
        <f>copyValue(Z11)</f>
        <v>Estudiantes</v>
      </c>
      <c r="AM11" s="38">
        <f t="shared" ref="AM11" si="4">SUM(AK11,Y11,M11)</f>
        <v>100</v>
      </c>
      <c r="AN11" s="38" t="str">
        <f t="shared" ref="AN11" si="5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3</v>
      </c>
      <c r="L12" s="22">
        <f>SUM(C12,D12,E12,G12,I12,J12,K12)</f>
        <v>98</v>
      </c>
      <c r="M12" s="20">
        <f t="shared" si="0"/>
        <v>29.4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2"/>
        <v>30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100</v>
      </c>
      <c r="AK12" s="22">
        <f t="shared" si="3"/>
        <v>40</v>
      </c>
      <c r="AL12" s="28" t="str">
        <f>copyValue(Z12)</f>
        <v/>
      </c>
      <c r="AM12" s="22">
        <f>SUM(AK12,Y12,M12)</f>
        <v>99.4</v>
      </c>
      <c r="AN12" s="22" t="str">
        <f>IF(AM12 &gt;=70,"Aprobado","Reprobado")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6">calcularConcepto(SUM(C13,D13,E13,G13,I13))</f>
        <v>5</v>
      </c>
      <c r="K13" s="22">
        <v>5</v>
      </c>
      <c r="L13" s="22">
        <f t="shared" ref="L13:L49" si="7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8">calcularConcepto(SUM(O13,P13,Q13,S13,U13))</f>
        <v>5</v>
      </c>
      <c r="W13" s="22">
        <v>5</v>
      </c>
      <c r="X13" s="22">
        <f t="shared" ref="X13:X49" si="9">SUM(O13,P13,Q13,S13,U13,V13,W13)</f>
        <v>100</v>
      </c>
      <c r="Y13" s="22">
        <f t="shared" si="2"/>
        <v>30</v>
      </c>
      <c r="Z13" s="28" t="str">
        <f t="shared" ref="Z13:Z49" si="10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1">calcularConcepto(SUM(AA13,AB13,AC13,AE13,AG13))</f>
        <v>5</v>
      </c>
      <c r="AI13" s="22">
        <v>5</v>
      </c>
      <c r="AJ13" s="22">
        <f t="shared" ref="AJ13:AJ49" si="12">SUM(AA13,AB13,AC13,AE13,AG13,AH13,AI13)</f>
        <v>100</v>
      </c>
      <c r="AK13" s="22">
        <f t="shared" si="3"/>
        <v>40</v>
      </c>
      <c r="AL13" s="28" t="str">
        <f t="shared" ref="AL13:AL49" si="13">copyValue(Z13)</f>
        <v/>
      </c>
      <c r="AM13" s="22">
        <f t="shared" ref="AM13:AM49" si="14">SUM(AK13,Y13,M13)</f>
        <v>100</v>
      </c>
      <c r="AN13" s="22" t="str">
        <f t="shared" ref="AN13:AN49" si="15">IF(AM13 &gt;=70,"Aprobado","Reprobado")</f>
        <v>Aprobado</v>
      </c>
      <c r="AS13" s="34"/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6"/>
        <v>5</v>
      </c>
      <c r="K14" s="22">
        <v>5</v>
      </c>
      <c r="L14" s="22">
        <f t="shared" si="7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8"/>
        <v>5</v>
      </c>
      <c r="W14" s="22">
        <v>5</v>
      </c>
      <c r="X14" s="22">
        <f t="shared" si="9"/>
        <v>100</v>
      </c>
      <c r="Y14" s="22">
        <f t="shared" si="2"/>
        <v>30</v>
      </c>
      <c r="Z14" s="28" t="str">
        <f t="shared" si="10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1"/>
        <v>5</v>
      </c>
      <c r="AI14" s="22">
        <v>5</v>
      </c>
      <c r="AJ14" s="22">
        <f t="shared" si="12"/>
        <v>100</v>
      </c>
      <c r="AK14" s="22">
        <f t="shared" si="3"/>
        <v>40</v>
      </c>
      <c r="AL14" s="28" t="str">
        <f t="shared" si="13"/>
        <v/>
      </c>
      <c r="AM14" s="22">
        <f t="shared" si="14"/>
        <v>100</v>
      </c>
      <c r="AN14" s="22" t="str">
        <f t="shared" si="15"/>
        <v>Aprobado</v>
      </c>
      <c r="AS14" s="34" t="str">
        <f t="shared" ref="AS13:AS50" si="16">copyValue(B13)</f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6"/>
        <v>5</v>
      </c>
      <c r="K15" s="22">
        <v>5</v>
      </c>
      <c r="L15" s="22">
        <f t="shared" si="7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8"/>
        <v>5</v>
      </c>
      <c r="W15" s="22">
        <v>5</v>
      </c>
      <c r="X15" s="22">
        <f t="shared" si="9"/>
        <v>100</v>
      </c>
      <c r="Y15" s="22">
        <f t="shared" si="2"/>
        <v>30</v>
      </c>
      <c r="Z15" s="28" t="str">
        <f t="shared" si="10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1"/>
        <v>5</v>
      </c>
      <c r="AI15" s="22">
        <v>5</v>
      </c>
      <c r="AJ15" s="22">
        <f t="shared" si="12"/>
        <v>100</v>
      </c>
      <c r="AK15" s="22">
        <f t="shared" si="3"/>
        <v>40</v>
      </c>
      <c r="AL15" s="28" t="str">
        <f t="shared" si="13"/>
        <v/>
      </c>
      <c r="AM15" s="22">
        <f t="shared" si="14"/>
        <v>100</v>
      </c>
      <c r="AN15" s="22" t="str">
        <f t="shared" si="15"/>
        <v>Aprobado</v>
      </c>
      <c r="AS15" s="34" t="str">
        <f t="shared" si="16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6"/>
        <v>5</v>
      </c>
      <c r="K16" s="22">
        <v>5</v>
      </c>
      <c r="L16" s="22">
        <f t="shared" si="7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8"/>
        <v>5</v>
      </c>
      <c r="W16" s="22">
        <v>5</v>
      </c>
      <c r="X16" s="22">
        <f t="shared" si="9"/>
        <v>100</v>
      </c>
      <c r="Y16" s="22">
        <f t="shared" si="2"/>
        <v>30</v>
      </c>
      <c r="Z16" s="28" t="str">
        <f t="shared" si="10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1"/>
        <v>5</v>
      </c>
      <c r="AI16" s="22">
        <v>5</v>
      </c>
      <c r="AJ16" s="22">
        <f t="shared" si="12"/>
        <v>100</v>
      </c>
      <c r="AK16" s="22">
        <f t="shared" si="3"/>
        <v>40</v>
      </c>
      <c r="AL16" s="28" t="str">
        <f t="shared" si="13"/>
        <v/>
      </c>
      <c r="AM16" s="22">
        <f t="shared" si="14"/>
        <v>100</v>
      </c>
      <c r="AN16" s="22" t="str">
        <f t="shared" si="15"/>
        <v>Aprobado</v>
      </c>
      <c r="AS16" s="34" t="str">
        <f t="shared" si="16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6"/>
        <v>5</v>
      </c>
      <c r="K17" s="22">
        <v>5</v>
      </c>
      <c r="L17" s="22">
        <f t="shared" si="7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8"/>
        <v>5</v>
      </c>
      <c r="W17" s="22">
        <v>5</v>
      </c>
      <c r="X17" s="22">
        <f t="shared" si="9"/>
        <v>100</v>
      </c>
      <c r="Y17" s="22">
        <f t="shared" si="2"/>
        <v>30</v>
      </c>
      <c r="Z17" s="28" t="str">
        <f t="shared" si="10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1"/>
        <v>5</v>
      </c>
      <c r="AI17" s="22">
        <v>5</v>
      </c>
      <c r="AJ17" s="22">
        <f t="shared" si="12"/>
        <v>100</v>
      </c>
      <c r="AK17" s="22">
        <f t="shared" si="3"/>
        <v>40</v>
      </c>
      <c r="AL17" s="28" t="str">
        <f t="shared" si="13"/>
        <v/>
      </c>
      <c r="AM17" s="22">
        <f t="shared" si="14"/>
        <v>100</v>
      </c>
      <c r="AN17" s="22" t="str">
        <f t="shared" si="15"/>
        <v>Aprobado</v>
      </c>
      <c r="AS17" s="34" t="str">
        <f t="shared" si="16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6"/>
        <v>5</v>
      </c>
      <c r="K18" s="22">
        <v>5</v>
      </c>
      <c r="L18" s="22">
        <f t="shared" si="7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8"/>
        <v>5</v>
      </c>
      <c r="W18" s="22">
        <v>5</v>
      </c>
      <c r="X18" s="22">
        <f t="shared" si="9"/>
        <v>100</v>
      </c>
      <c r="Y18" s="22">
        <f t="shared" si="2"/>
        <v>30</v>
      </c>
      <c r="Z18" s="28" t="str">
        <f t="shared" si="10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1"/>
        <v>5</v>
      </c>
      <c r="AI18" s="22">
        <v>5</v>
      </c>
      <c r="AJ18" s="22">
        <f t="shared" si="12"/>
        <v>100</v>
      </c>
      <c r="AK18" s="22">
        <f t="shared" si="3"/>
        <v>40</v>
      </c>
      <c r="AL18" s="28" t="str">
        <f t="shared" si="13"/>
        <v/>
      </c>
      <c r="AM18" s="22">
        <f t="shared" si="14"/>
        <v>100</v>
      </c>
      <c r="AN18" s="22" t="str">
        <f t="shared" si="15"/>
        <v>Aprobado</v>
      </c>
      <c r="AS18" s="34" t="str">
        <f t="shared" si="16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6"/>
        <v>5</v>
      </c>
      <c r="K19" s="22">
        <v>5</v>
      </c>
      <c r="L19" s="22">
        <f t="shared" si="7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8"/>
        <v>5</v>
      </c>
      <c r="W19" s="22">
        <v>5</v>
      </c>
      <c r="X19" s="22">
        <f t="shared" si="9"/>
        <v>100</v>
      </c>
      <c r="Y19" s="22">
        <f t="shared" si="2"/>
        <v>30</v>
      </c>
      <c r="Z19" s="28" t="str">
        <f t="shared" si="10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1"/>
        <v>5</v>
      </c>
      <c r="AI19" s="22">
        <v>5</v>
      </c>
      <c r="AJ19" s="22">
        <f t="shared" si="12"/>
        <v>100</v>
      </c>
      <c r="AK19" s="22">
        <f t="shared" si="3"/>
        <v>40</v>
      </c>
      <c r="AL19" s="28" t="str">
        <f t="shared" si="13"/>
        <v/>
      </c>
      <c r="AM19" s="22">
        <f t="shared" si="14"/>
        <v>100</v>
      </c>
      <c r="AN19" s="22" t="str">
        <f t="shared" si="15"/>
        <v>Aprobado</v>
      </c>
      <c r="AS19" s="34" t="str">
        <f t="shared" si="16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6"/>
        <v>5</v>
      </c>
      <c r="K20" s="22">
        <v>5</v>
      </c>
      <c r="L20" s="22">
        <f t="shared" si="7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8"/>
        <v>5</v>
      </c>
      <c r="W20" s="22">
        <v>5</v>
      </c>
      <c r="X20" s="22">
        <f t="shared" si="9"/>
        <v>100</v>
      </c>
      <c r="Y20" s="22">
        <f t="shared" si="2"/>
        <v>30</v>
      </c>
      <c r="Z20" s="28" t="str">
        <f t="shared" si="10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1"/>
        <v>5</v>
      </c>
      <c r="AI20" s="22">
        <v>5</v>
      </c>
      <c r="AJ20" s="22">
        <f t="shared" si="12"/>
        <v>100</v>
      </c>
      <c r="AK20" s="22">
        <f t="shared" si="3"/>
        <v>40</v>
      </c>
      <c r="AL20" s="28" t="str">
        <f t="shared" si="13"/>
        <v/>
      </c>
      <c r="AM20" s="22">
        <f t="shared" si="14"/>
        <v>100</v>
      </c>
      <c r="AN20" s="22" t="str">
        <f t="shared" si="15"/>
        <v>Aprobado</v>
      </c>
      <c r="AS20" s="34" t="str">
        <f t="shared" si="16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6"/>
        <v>5</v>
      </c>
      <c r="K21" s="22">
        <v>5</v>
      </c>
      <c r="L21" s="22">
        <f t="shared" si="7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8"/>
        <v>5</v>
      </c>
      <c r="W21" s="22">
        <v>5</v>
      </c>
      <c r="X21" s="22">
        <f t="shared" si="9"/>
        <v>100</v>
      </c>
      <c r="Y21" s="22">
        <f t="shared" si="2"/>
        <v>30</v>
      </c>
      <c r="Z21" s="28" t="str">
        <f t="shared" si="10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1"/>
        <v>5</v>
      </c>
      <c r="AI21" s="22">
        <v>5</v>
      </c>
      <c r="AJ21" s="22">
        <f t="shared" si="12"/>
        <v>100</v>
      </c>
      <c r="AK21" s="22">
        <f t="shared" si="3"/>
        <v>40</v>
      </c>
      <c r="AL21" s="28" t="str">
        <f t="shared" si="13"/>
        <v/>
      </c>
      <c r="AM21" s="22">
        <f t="shared" si="14"/>
        <v>100</v>
      </c>
      <c r="AN21" s="22" t="str">
        <f t="shared" si="15"/>
        <v>Aprobado</v>
      </c>
      <c r="AS21" s="34" t="str">
        <f t="shared" si="16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6"/>
        <v>5</v>
      </c>
      <c r="K22" s="22">
        <v>5</v>
      </c>
      <c r="L22" s="22">
        <f t="shared" si="7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8"/>
        <v>5</v>
      </c>
      <c r="W22" s="22">
        <v>5</v>
      </c>
      <c r="X22" s="22">
        <f t="shared" si="9"/>
        <v>100</v>
      </c>
      <c r="Y22" s="22">
        <f t="shared" si="2"/>
        <v>30</v>
      </c>
      <c r="Z22" s="28" t="str">
        <f t="shared" si="10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1"/>
        <v>5</v>
      </c>
      <c r="AI22" s="22">
        <v>5</v>
      </c>
      <c r="AJ22" s="22">
        <f t="shared" si="12"/>
        <v>100</v>
      </c>
      <c r="AK22" s="22">
        <f t="shared" si="3"/>
        <v>40</v>
      </c>
      <c r="AL22" s="28" t="str">
        <f t="shared" si="13"/>
        <v/>
      </c>
      <c r="AM22" s="22">
        <f t="shared" si="14"/>
        <v>100</v>
      </c>
      <c r="AN22" s="22" t="str">
        <f t="shared" si="15"/>
        <v>Aprobado</v>
      </c>
      <c r="AS22" s="34" t="str">
        <f t="shared" si="16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6"/>
        <v>5</v>
      </c>
      <c r="K23" s="22">
        <v>5</v>
      </c>
      <c r="L23" s="22">
        <f t="shared" si="7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8"/>
        <v>5</v>
      </c>
      <c r="W23" s="22">
        <v>5</v>
      </c>
      <c r="X23" s="22">
        <f t="shared" si="9"/>
        <v>100</v>
      </c>
      <c r="Y23" s="22">
        <f t="shared" si="2"/>
        <v>30</v>
      </c>
      <c r="Z23" s="28" t="str">
        <f t="shared" si="10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1"/>
        <v>5</v>
      </c>
      <c r="AI23" s="22">
        <v>5</v>
      </c>
      <c r="AJ23" s="22">
        <f t="shared" si="12"/>
        <v>100</v>
      </c>
      <c r="AK23" s="22">
        <f t="shared" si="3"/>
        <v>40</v>
      </c>
      <c r="AL23" s="28" t="str">
        <f t="shared" si="13"/>
        <v/>
      </c>
      <c r="AM23" s="22">
        <f t="shared" si="14"/>
        <v>100</v>
      </c>
      <c r="AN23" s="22" t="str">
        <f t="shared" si="15"/>
        <v>Aprobado</v>
      </c>
      <c r="AS23" s="34" t="str">
        <f t="shared" si="16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6"/>
        <v>5</v>
      </c>
      <c r="K24" s="22">
        <v>5</v>
      </c>
      <c r="L24" s="22">
        <f t="shared" si="7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8"/>
        <v>5</v>
      </c>
      <c r="W24" s="22">
        <v>5</v>
      </c>
      <c r="X24" s="22">
        <f t="shared" si="9"/>
        <v>100</v>
      </c>
      <c r="Y24" s="22">
        <f t="shared" si="2"/>
        <v>30</v>
      </c>
      <c r="Z24" s="28" t="str">
        <f t="shared" si="10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1"/>
        <v>5</v>
      </c>
      <c r="AI24" s="22">
        <v>5</v>
      </c>
      <c r="AJ24" s="22">
        <f t="shared" si="12"/>
        <v>100</v>
      </c>
      <c r="AK24" s="22">
        <f t="shared" si="3"/>
        <v>40</v>
      </c>
      <c r="AL24" s="28" t="str">
        <f t="shared" si="13"/>
        <v/>
      </c>
      <c r="AM24" s="22">
        <f t="shared" si="14"/>
        <v>100</v>
      </c>
      <c r="AN24" s="22" t="str">
        <f t="shared" si="15"/>
        <v>Aprobado</v>
      </c>
      <c r="AS24" s="34" t="str">
        <f t="shared" si="16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6"/>
        <v>5</v>
      </c>
      <c r="K25" s="22">
        <v>5</v>
      </c>
      <c r="L25" s="22">
        <f t="shared" si="7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8"/>
        <v>5</v>
      </c>
      <c r="W25" s="22">
        <v>5</v>
      </c>
      <c r="X25" s="22">
        <f t="shared" si="9"/>
        <v>100</v>
      </c>
      <c r="Y25" s="22">
        <f t="shared" si="2"/>
        <v>30</v>
      </c>
      <c r="Z25" s="28" t="str">
        <f t="shared" si="10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1"/>
        <v>5</v>
      </c>
      <c r="AI25" s="22">
        <v>5</v>
      </c>
      <c r="AJ25" s="22">
        <f t="shared" si="12"/>
        <v>100</v>
      </c>
      <c r="AK25" s="22">
        <f t="shared" si="3"/>
        <v>40</v>
      </c>
      <c r="AL25" s="28" t="str">
        <f t="shared" si="13"/>
        <v/>
      </c>
      <c r="AM25" s="22">
        <f t="shared" si="14"/>
        <v>100</v>
      </c>
      <c r="AN25" s="22" t="str">
        <f t="shared" si="15"/>
        <v>Aprobado</v>
      </c>
      <c r="AS25" s="34" t="str">
        <f t="shared" si="16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6"/>
        <v>5</v>
      </c>
      <c r="K26" s="22">
        <v>5</v>
      </c>
      <c r="L26" s="22">
        <f t="shared" si="7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8"/>
        <v>5</v>
      </c>
      <c r="W26" s="22">
        <v>5</v>
      </c>
      <c r="X26" s="22">
        <f t="shared" si="9"/>
        <v>100</v>
      </c>
      <c r="Y26" s="22">
        <f t="shared" si="2"/>
        <v>30</v>
      </c>
      <c r="Z26" s="28" t="str">
        <f t="shared" si="10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1"/>
        <v>5</v>
      </c>
      <c r="AI26" s="22">
        <v>5</v>
      </c>
      <c r="AJ26" s="22">
        <f t="shared" si="12"/>
        <v>100</v>
      </c>
      <c r="AK26" s="22">
        <f t="shared" si="3"/>
        <v>40</v>
      </c>
      <c r="AL26" s="28" t="str">
        <f t="shared" si="13"/>
        <v/>
      </c>
      <c r="AM26" s="22">
        <f t="shared" si="14"/>
        <v>100</v>
      </c>
      <c r="AN26" s="22" t="str">
        <f t="shared" si="15"/>
        <v>Aprobado</v>
      </c>
      <c r="AS26" s="34" t="str">
        <f t="shared" si="16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6"/>
        <v>5</v>
      </c>
      <c r="K27" s="22">
        <v>5</v>
      </c>
      <c r="L27" s="22">
        <f t="shared" si="7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8"/>
        <v>5</v>
      </c>
      <c r="W27" s="22">
        <v>5</v>
      </c>
      <c r="X27" s="22">
        <f t="shared" si="9"/>
        <v>100</v>
      </c>
      <c r="Y27" s="22">
        <f t="shared" si="2"/>
        <v>30</v>
      </c>
      <c r="Z27" s="28" t="str">
        <f t="shared" si="10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1"/>
        <v>5</v>
      </c>
      <c r="AI27" s="22">
        <v>5</v>
      </c>
      <c r="AJ27" s="22">
        <f t="shared" si="12"/>
        <v>100</v>
      </c>
      <c r="AK27" s="22">
        <f t="shared" si="3"/>
        <v>40</v>
      </c>
      <c r="AL27" s="28" t="str">
        <f t="shared" si="13"/>
        <v/>
      </c>
      <c r="AM27" s="22">
        <f t="shared" si="14"/>
        <v>100</v>
      </c>
      <c r="AN27" s="22" t="str">
        <f t="shared" si="15"/>
        <v>Aprobado</v>
      </c>
      <c r="AS27" s="34" t="str">
        <f t="shared" si="16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6"/>
        <v>5</v>
      </c>
      <c r="K28" s="22">
        <v>5</v>
      </c>
      <c r="L28" s="22">
        <f t="shared" si="7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8"/>
        <v>5</v>
      </c>
      <c r="W28" s="22">
        <v>5</v>
      </c>
      <c r="X28" s="22">
        <f t="shared" si="9"/>
        <v>100</v>
      </c>
      <c r="Y28" s="22">
        <f t="shared" si="2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1"/>
        <v>5</v>
      </c>
      <c r="AI28" s="22">
        <v>5</v>
      </c>
      <c r="AJ28" s="22">
        <f t="shared" si="12"/>
        <v>100</v>
      </c>
      <c r="AK28" s="22">
        <f t="shared" si="3"/>
        <v>40</v>
      </c>
      <c r="AL28" s="28" t="str">
        <f>copyValue(Z28)</f>
        <v/>
      </c>
      <c r="AM28" s="22">
        <f t="shared" si="14"/>
        <v>100</v>
      </c>
      <c r="AN28" s="22" t="str">
        <f t="shared" si="15"/>
        <v>Aprobado</v>
      </c>
      <c r="AS28" s="34" t="str">
        <f t="shared" si="16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6"/>
        <v>5</v>
      </c>
      <c r="K29" s="22">
        <v>5</v>
      </c>
      <c r="L29" s="22">
        <f t="shared" si="7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8"/>
        <v>5</v>
      </c>
      <c r="W29" s="22">
        <v>5</v>
      </c>
      <c r="X29" s="22">
        <f t="shared" si="9"/>
        <v>100</v>
      </c>
      <c r="Y29" s="22">
        <f t="shared" si="2"/>
        <v>30</v>
      </c>
      <c r="Z29" s="28" t="str">
        <f t="shared" si="10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1"/>
        <v>5</v>
      </c>
      <c r="AI29" s="22">
        <v>5</v>
      </c>
      <c r="AJ29" s="22">
        <f t="shared" si="12"/>
        <v>100</v>
      </c>
      <c r="AK29" s="22">
        <f t="shared" si="3"/>
        <v>40</v>
      </c>
      <c r="AL29" s="28" t="str">
        <f t="shared" si="13"/>
        <v/>
      </c>
      <c r="AM29" s="22">
        <f t="shared" si="14"/>
        <v>100</v>
      </c>
      <c r="AN29" s="22" t="str">
        <f t="shared" si="15"/>
        <v>Aprobado</v>
      </c>
      <c r="AS29" s="34" t="str">
        <f t="shared" si="16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6"/>
        <v>5</v>
      </c>
      <c r="K30" s="22">
        <v>5</v>
      </c>
      <c r="L30" s="22">
        <f t="shared" si="7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8"/>
        <v>5</v>
      </c>
      <c r="W30" s="22">
        <v>5</v>
      </c>
      <c r="X30" s="22">
        <f t="shared" si="9"/>
        <v>100</v>
      </c>
      <c r="Y30" s="22">
        <f t="shared" si="2"/>
        <v>30</v>
      </c>
      <c r="Z30" s="28" t="str">
        <f t="shared" si="10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1"/>
        <v>5</v>
      </c>
      <c r="AI30" s="22">
        <v>5</v>
      </c>
      <c r="AJ30" s="22">
        <f t="shared" si="12"/>
        <v>100</v>
      </c>
      <c r="AK30" s="22">
        <f t="shared" si="3"/>
        <v>40</v>
      </c>
      <c r="AL30" s="28" t="str">
        <f t="shared" si="13"/>
        <v/>
      </c>
      <c r="AM30" s="22">
        <f t="shared" si="14"/>
        <v>100</v>
      </c>
      <c r="AN30" s="22" t="str">
        <f t="shared" si="15"/>
        <v>Aprobado</v>
      </c>
      <c r="AS30" s="34" t="str">
        <f t="shared" si="16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6"/>
        <v>5</v>
      </c>
      <c r="K31" s="22">
        <v>5</v>
      </c>
      <c r="L31" s="22">
        <f t="shared" si="7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8"/>
        <v>5</v>
      </c>
      <c r="W31" s="22">
        <v>5</v>
      </c>
      <c r="X31" s="22">
        <f t="shared" si="9"/>
        <v>100</v>
      </c>
      <c r="Y31" s="22">
        <f t="shared" si="2"/>
        <v>30</v>
      </c>
      <c r="Z31" s="28" t="str">
        <f t="shared" si="10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1"/>
        <v>5</v>
      </c>
      <c r="AI31" s="22">
        <v>5</v>
      </c>
      <c r="AJ31" s="22">
        <f t="shared" si="12"/>
        <v>100</v>
      </c>
      <c r="AK31" s="22">
        <f t="shared" si="3"/>
        <v>40</v>
      </c>
      <c r="AL31" s="28" t="str">
        <f t="shared" si="13"/>
        <v/>
      </c>
      <c r="AM31" s="22">
        <f t="shared" si="14"/>
        <v>100</v>
      </c>
      <c r="AN31" s="22" t="str">
        <f t="shared" si="15"/>
        <v>Aprobado</v>
      </c>
      <c r="AS31" s="34" t="str">
        <f t="shared" si="16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6"/>
        <v>5</v>
      </c>
      <c r="K32" s="22">
        <v>5</v>
      </c>
      <c r="L32" s="22">
        <f t="shared" si="7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8"/>
        <v>5</v>
      </c>
      <c r="W32" s="22">
        <v>5</v>
      </c>
      <c r="X32" s="22">
        <f t="shared" si="9"/>
        <v>100</v>
      </c>
      <c r="Y32" s="22">
        <f t="shared" si="2"/>
        <v>30</v>
      </c>
      <c r="Z32" s="28" t="str">
        <f t="shared" si="10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1"/>
        <v>5</v>
      </c>
      <c r="AI32" s="22">
        <v>5</v>
      </c>
      <c r="AJ32" s="22">
        <f t="shared" si="12"/>
        <v>100</v>
      </c>
      <c r="AK32" s="22">
        <f t="shared" si="3"/>
        <v>40</v>
      </c>
      <c r="AL32" s="28" t="str">
        <f t="shared" si="13"/>
        <v/>
      </c>
      <c r="AM32" s="22">
        <f t="shared" si="14"/>
        <v>100</v>
      </c>
      <c r="AN32" s="22" t="str">
        <f t="shared" si="15"/>
        <v>Aprobado</v>
      </c>
      <c r="AS32" s="34" t="str">
        <f t="shared" si="16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6"/>
        <v>5</v>
      </c>
      <c r="K33" s="22">
        <v>5</v>
      </c>
      <c r="L33" s="22">
        <f t="shared" si="7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8"/>
        <v>5</v>
      </c>
      <c r="W33" s="22">
        <v>5</v>
      </c>
      <c r="X33" s="22">
        <f t="shared" si="9"/>
        <v>100</v>
      </c>
      <c r="Y33" s="22">
        <f t="shared" si="2"/>
        <v>30</v>
      </c>
      <c r="Z33" s="28" t="str">
        <f t="shared" si="10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1"/>
        <v>5</v>
      </c>
      <c r="AI33" s="22">
        <v>5</v>
      </c>
      <c r="AJ33" s="22">
        <f t="shared" si="12"/>
        <v>100</v>
      </c>
      <c r="AK33" s="22">
        <f t="shared" si="3"/>
        <v>40</v>
      </c>
      <c r="AL33" s="28" t="str">
        <f t="shared" si="13"/>
        <v/>
      </c>
      <c r="AM33" s="22">
        <f t="shared" si="14"/>
        <v>100</v>
      </c>
      <c r="AN33" s="22" t="str">
        <f t="shared" si="15"/>
        <v>Aprobado</v>
      </c>
      <c r="AS33" s="34" t="str">
        <f t="shared" si="16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6"/>
        <v>5</v>
      </c>
      <c r="K34" s="22">
        <v>5</v>
      </c>
      <c r="L34" s="22">
        <f t="shared" si="7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8"/>
        <v>5</v>
      </c>
      <c r="W34" s="22">
        <v>5</v>
      </c>
      <c r="X34" s="22">
        <f t="shared" si="9"/>
        <v>100</v>
      </c>
      <c r="Y34" s="22">
        <f t="shared" si="2"/>
        <v>30</v>
      </c>
      <c r="Z34" s="28" t="str">
        <f t="shared" si="10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1"/>
        <v>5</v>
      </c>
      <c r="AI34" s="22">
        <v>5</v>
      </c>
      <c r="AJ34" s="22">
        <f t="shared" si="12"/>
        <v>100</v>
      </c>
      <c r="AK34" s="22">
        <f t="shared" si="3"/>
        <v>40</v>
      </c>
      <c r="AL34" s="28" t="str">
        <f t="shared" si="13"/>
        <v/>
      </c>
      <c r="AM34" s="22">
        <f t="shared" si="14"/>
        <v>100</v>
      </c>
      <c r="AN34" s="22" t="str">
        <f t="shared" si="15"/>
        <v>Aprobado</v>
      </c>
      <c r="AS34" s="34" t="str">
        <f t="shared" si="16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6"/>
        <v>5</v>
      </c>
      <c r="K35" s="22">
        <v>5</v>
      </c>
      <c r="L35" s="22">
        <f t="shared" si="7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8"/>
        <v>5</v>
      </c>
      <c r="W35" s="22">
        <v>5</v>
      </c>
      <c r="X35" s="22">
        <f t="shared" si="9"/>
        <v>100</v>
      </c>
      <c r="Y35" s="22">
        <f t="shared" si="2"/>
        <v>30</v>
      </c>
      <c r="Z35" s="28" t="str">
        <f t="shared" si="10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1"/>
        <v>5</v>
      </c>
      <c r="AI35" s="22">
        <v>5</v>
      </c>
      <c r="AJ35" s="22">
        <f t="shared" si="12"/>
        <v>100</v>
      </c>
      <c r="AK35" s="22">
        <f t="shared" si="3"/>
        <v>40</v>
      </c>
      <c r="AL35" s="28" t="str">
        <f t="shared" si="13"/>
        <v/>
      </c>
      <c r="AM35" s="22">
        <f t="shared" si="14"/>
        <v>100</v>
      </c>
      <c r="AN35" s="22" t="str">
        <f t="shared" si="15"/>
        <v>Aprobado</v>
      </c>
      <c r="AS35" s="34" t="str">
        <f t="shared" si="16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6"/>
        <v>5</v>
      </c>
      <c r="K36" s="22">
        <v>5</v>
      </c>
      <c r="L36" s="22">
        <f t="shared" si="7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8"/>
        <v>5</v>
      </c>
      <c r="W36" s="22">
        <v>5</v>
      </c>
      <c r="X36" s="22">
        <f t="shared" si="9"/>
        <v>100</v>
      </c>
      <c r="Y36" s="22">
        <f t="shared" si="2"/>
        <v>30</v>
      </c>
      <c r="Z36" s="28" t="str">
        <f t="shared" si="10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1"/>
        <v>5</v>
      </c>
      <c r="AI36" s="22">
        <v>5</v>
      </c>
      <c r="AJ36" s="22">
        <f t="shared" si="12"/>
        <v>100</v>
      </c>
      <c r="AK36" s="22">
        <f t="shared" si="3"/>
        <v>40</v>
      </c>
      <c r="AL36" s="28" t="str">
        <f t="shared" si="13"/>
        <v/>
      </c>
      <c r="AM36" s="22">
        <f t="shared" si="14"/>
        <v>100</v>
      </c>
      <c r="AN36" s="22" t="str">
        <f t="shared" si="15"/>
        <v>Aprobado</v>
      </c>
      <c r="AS36" s="34" t="str">
        <f t="shared" si="16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6"/>
        <v>5</v>
      </c>
      <c r="K37" s="22">
        <v>5</v>
      </c>
      <c r="L37" s="22">
        <f t="shared" si="7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8"/>
        <v>5</v>
      </c>
      <c r="W37" s="22">
        <v>5</v>
      </c>
      <c r="X37" s="22">
        <f t="shared" si="9"/>
        <v>100</v>
      </c>
      <c r="Y37" s="22">
        <f t="shared" si="2"/>
        <v>30</v>
      </c>
      <c r="Z37" s="28" t="str">
        <f t="shared" si="10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1"/>
        <v>5</v>
      </c>
      <c r="AI37" s="22">
        <v>5</v>
      </c>
      <c r="AJ37" s="22">
        <f t="shared" si="12"/>
        <v>100</v>
      </c>
      <c r="AK37" s="22">
        <f t="shared" si="3"/>
        <v>40</v>
      </c>
      <c r="AL37" s="28" t="str">
        <f t="shared" si="13"/>
        <v/>
      </c>
      <c r="AM37" s="22">
        <f t="shared" si="14"/>
        <v>100</v>
      </c>
      <c r="AN37" s="22" t="str">
        <f t="shared" si="15"/>
        <v>Aprobado</v>
      </c>
      <c r="AS37" s="34" t="str">
        <f t="shared" si="16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6"/>
        <v>5</v>
      </c>
      <c r="K38" s="22">
        <v>5</v>
      </c>
      <c r="L38" s="22">
        <f t="shared" si="7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8"/>
        <v>5</v>
      </c>
      <c r="W38" s="22">
        <v>5</v>
      </c>
      <c r="X38" s="22">
        <f t="shared" si="9"/>
        <v>100</v>
      </c>
      <c r="Y38" s="22">
        <f t="shared" si="2"/>
        <v>30</v>
      </c>
      <c r="Z38" s="28" t="str">
        <f t="shared" si="10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1"/>
        <v>5</v>
      </c>
      <c r="AI38" s="22">
        <v>5</v>
      </c>
      <c r="AJ38" s="22">
        <f t="shared" si="12"/>
        <v>100</v>
      </c>
      <c r="AK38" s="22">
        <f t="shared" si="3"/>
        <v>40</v>
      </c>
      <c r="AL38" s="28" t="str">
        <f t="shared" si="13"/>
        <v/>
      </c>
      <c r="AM38" s="22">
        <f t="shared" si="14"/>
        <v>100</v>
      </c>
      <c r="AN38" s="22" t="str">
        <f t="shared" si="15"/>
        <v>Aprobado</v>
      </c>
      <c r="AS38" s="34" t="str">
        <f t="shared" si="16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6"/>
        <v>5</v>
      </c>
      <c r="K39" s="22">
        <v>5</v>
      </c>
      <c r="L39" s="22">
        <f t="shared" si="7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8"/>
        <v>5</v>
      </c>
      <c r="W39" s="22">
        <v>5</v>
      </c>
      <c r="X39" s="22">
        <f t="shared" si="9"/>
        <v>100</v>
      </c>
      <c r="Y39" s="22">
        <f t="shared" si="2"/>
        <v>30</v>
      </c>
      <c r="Z39" s="28" t="str">
        <f t="shared" si="10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1"/>
        <v>5</v>
      </c>
      <c r="AI39" s="22">
        <v>5</v>
      </c>
      <c r="AJ39" s="22">
        <f t="shared" si="12"/>
        <v>100</v>
      </c>
      <c r="AK39" s="22">
        <f t="shared" si="3"/>
        <v>40</v>
      </c>
      <c r="AL39" s="28" t="str">
        <f t="shared" si="13"/>
        <v/>
      </c>
      <c r="AM39" s="22">
        <f t="shared" si="14"/>
        <v>100</v>
      </c>
      <c r="AN39" s="22" t="str">
        <f t="shared" si="15"/>
        <v>Aprobado</v>
      </c>
      <c r="AS39" s="34" t="str">
        <f t="shared" si="16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6"/>
        <v>5</v>
      </c>
      <c r="K40" s="22">
        <v>5</v>
      </c>
      <c r="L40" s="22">
        <f t="shared" si="7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8"/>
        <v>5</v>
      </c>
      <c r="W40" s="22">
        <v>5</v>
      </c>
      <c r="X40" s="22">
        <f t="shared" si="9"/>
        <v>100</v>
      </c>
      <c r="Y40" s="22">
        <f t="shared" si="2"/>
        <v>30</v>
      </c>
      <c r="Z40" s="28" t="str">
        <f t="shared" si="10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1"/>
        <v>5</v>
      </c>
      <c r="AI40" s="22">
        <v>5</v>
      </c>
      <c r="AJ40" s="22">
        <f t="shared" si="12"/>
        <v>100</v>
      </c>
      <c r="AK40" s="22">
        <f t="shared" si="3"/>
        <v>40</v>
      </c>
      <c r="AL40" s="28" t="str">
        <f t="shared" si="13"/>
        <v/>
      </c>
      <c r="AM40" s="22">
        <f t="shared" si="14"/>
        <v>100</v>
      </c>
      <c r="AN40" s="22" t="str">
        <f t="shared" si="15"/>
        <v>Aprobado</v>
      </c>
      <c r="AS40" s="34" t="str">
        <f t="shared" si="16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6"/>
        <v>5</v>
      </c>
      <c r="K41" s="22">
        <v>5</v>
      </c>
      <c r="L41" s="22">
        <f t="shared" si="7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8"/>
        <v>5</v>
      </c>
      <c r="W41" s="22">
        <v>5</v>
      </c>
      <c r="X41" s="22">
        <f t="shared" si="9"/>
        <v>100</v>
      </c>
      <c r="Y41" s="22">
        <f t="shared" si="2"/>
        <v>30</v>
      </c>
      <c r="Z41" s="28" t="str">
        <f t="shared" si="10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1"/>
        <v>5</v>
      </c>
      <c r="AI41" s="22">
        <v>5</v>
      </c>
      <c r="AJ41" s="22">
        <f t="shared" si="12"/>
        <v>100</v>
      </c>
      <c r="AK41" s="22">
        <f t="shared" si="3"/>
        <v>40</v>
      </c>
      <c r="AL41" s="28" t="str">
        <f t="shared" si="13"/>
        <v/>
      </c>
      <c r="AM41" s="22">
        <f t="shared" si="14"/>
        <v>100</v>
      </c>
      <c r="AN41" s="22" t="str">
        <f t="shared" si="15"/>
        <v>Aprobado</v>
      </c>
      <c r="AS41" s="34" t="str">
        <f t="shared" si="16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6"/>
        <v>5</v>
      </c>
      <c r="K42" s="22">
        <v>5</v>
      </c>
      <c r="L42" s="22">
        <f t="shared" si="7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8"/>
        <v>5</v>
      </c>
      <c r="W42" s="22">
        <v>5</v>
      </c>
      <c r="X42" s="22">
        <f t="shared" si="9"/>
        <v>100</v>
      </c>
      <c r="Y42" s="22">
        <f t="shared" si="2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1"/>
        <v>5</v>
      </c>
      <c r="AI42" s="22">
        <v>5</v>
      </c>
      <c r="AJ42" s="22">
        <f t="shared" si="12"/>
        <v>100</v>
      </c>
      <c r="AK42" s="22">
        <f t="shared" si="3"/>
        <v>40</v>
      </c>
      <c r="AL42" s="28" t="str">
        <f>copyValue(Z42)</f>
        <v/>
      </c>
      <c r="AM42" s="22">
        <f t="shared" si="14"/>
        <v>100</v>
      </c>
      <c r="AN42" s="22" t="str">
        <f t="shared" si="15"/>
        <v>Aprobado</v>
      </c>
      <c r="AS42" s="34" t="str">
        <f t="shared" si="16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6"/>
        <v>5</v>
      </c>
      <c r="K43" s="22">
        <v>5</v>
      </c>
      <c r="L43" s="22">
        <f t="shared" si="7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8"/>
        <v>5</v>
      </c>
      <c r="W43" s="22">
        <v>5</v>
      </c>
      <c r="X43" s="22">
        <f t="shared" si="9"/>
        <v>100</v>
      </c>
      <c r="Y43" s="22">
        <f t="shared" si="2"/>
        <v>30</v>
      </c>
      <c r="Z43" s="28" t="str">
        <f t="shared" si="10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1"/>
        <v>5</v>
      </c>
      <c r="AI43" s="22">
        <v>5</v>
      </c>
      <c r="AJ43" s="22">
        <f t="shared" si="12"/>
        <v>100</v>
      </c>
      <c r="AK43" s="22">
        <f t="shared" si="3"/>
        <v>40</v>
      </c>
      <c r="AL43" s="28" t="str">
        <f t="shared" si="13"/>
        <v/>
      </c>
      <c r="AM43" s="22">
        <f t="shared" si="14"/>
        <v>100</v>
      </c>
      <c r="AN43" s="22" t="str">
        <f t="shared" si="15"/>
        <v>Aprobado</v>
      </c>
      <c r="AS43" s="34" t="str">
        <f t="shared" si="16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6"/>
        <v>5</v>
      </c>
      <c r="K44" s="22">
        <v>5</v>
      </c>
      <c r="L44" s="22">
        <f t="shared" si="7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8"/>
        <v>5</v>
      </c>
      <c r="W44" s="22">
        <v>5</v>
      </c>
      <c r="X44" s="22">
        <f t="shared" si="9"/>
        <v>100</v>
      </c>
      <c r="Y44" s="22">
        <f t="shared" si="2"/>
        <v>30</v>
      </c>
      <c r="Z44" s="28" t="str">
        <f t="shared" si="10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1"/>
        <v>5</v>
      </c>
      <c r="AI44" s="22">
        <v>5</v>
      </c>
      <c r="AJ44" s="22">
        <f t="shared" si="12"/>
        <v>100</v>
      </c>
      <c r="AK44" s="22">
        <f t="shared" si="3"/>
        <v>40</v>
      </c>
      <c r="AL44" s="28" t="str">
        <f t="shared" si="13"/>
        <v/>
      </c>
      <c r="AM44" s="22">
        <f t="shared" si="14"/>
        <v>100</v>
      </c>
      <c r="AN44" s="22" t="str">
        <f t="shared" si="15"/>
        <v>Aprobado</v>
      </c>
      <c r="AS44" s="34" t="str">
        <f t="shared" si="16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6"/>
        <v>5</v>
      </c>
      <c r="K45" s="22">
        <v>5</v>
      </c>
      <c r="L45" s="22">
        <f t="shared" si="7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8"/>
        <v>5</v>
      </c>
      <c r="W45" s="22">
        <v>5</v>
      </c>
      <c r="X45" s="22">
        <f t="shared" si="9"/>
        <v>100</v>
      </c>
      <c r="Y45" s="22">
        <f t="shared" si="2"/>
        <v>30</v>
      </c>
      <c r="Z45" s="28" t="str">
        <f t="shared" si="10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1"/>
        <v>5</v>
      </c>
      <c r="AI45" s="22">
        <v>5</v>
      </c>
      <c r="AJ45" s="22">
        <f t="shared" si="12"/>
        <v>100</v>
      </c>
      <c r="AK45" s="22">
        <f t="shared" si="3"/>
        <v>40</v>
      </c>
      <c r="AL45" s="28" t="str">
        <f t="shared" si="13"/>
        <v/>
      </c>
      <c r="AM45" s="22">
        <f t="shared" si="14"/>
        <v>100</v>
      </c>
      <c r="AN45" s="22" t="str">
        <f t="shared" si="15"/>
        <v>Aprobado</v>
      </c>
      <c r="AS45" s="34" t="str">
        <f t="shared" si="16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6"/>
        <v>5</v>
      </c>
      <c r="K46" s="22">
        <v>5</v>
      </c>
      <c r="L46" s="22">
        <f t="shared" si="7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8"/>
        <v>5</v>
      </c>
      <c r="W46" s="22">
        <v>5</v>
      </c>
      <c r="X46" s="22">
        <f t="shared" si="9"/>
        <v>100</v>
      </c>
      <c r="Y46" s="22">
        <f t="shared" si="2"/>
        <v>30</v>
      </c>
      <c r="Z46" s="28" t="str">
        <f t="shared" si="10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1"/>
        <v>5</v>
      </c>
      <c r="AI46" s="22">
        <v>5</v>
      </c>
      <c r="AJ46" s="22">
        <f t="shared" si="12"/>
        <v>100</v>
      </c>
      <c r="AK46" s="22">
        <f t="shared" si="3"/>
        <v>40</v>
      </c>
      <c r="AL46" s="28" t="str">
        <f t="shared" si="13"/>
        <v/>
      </c>
      <c r="AM46" s="22">
        <f t="shared" si="14"/>
        <v>100</v>
      </c>
      <c r="AN46" s="22" t="str">
        <f t="shared" si="15"/>
        <v>Aprobado</v>
      </c>
      <c r="AS46" s="34" t="str">
        <f t="shared" si="16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6"/>
        <v>5</v>
      </c>
      <c r="K47" s="22">
        <v>5</v>
      </c>
      <c r="L47" s="22">
        <f t="shared" si="7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8"/>
        <v>5</v>
      </c>
      <c r="W47" s="22">
        <v>5</v>
      </c>
      <c r="X47" s="22">
        <f t="shared" si="9"/>
        <v>100</v>
      </c>
      <c r="Y47" s="22">
        <f t="shared" si="2"/>
        <v>30</v>
      </c>
      <c r="Z47" s="28" t="str">
        <f t="shared" si="10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1"/>
        <v>5</v>
      </c>
      <c r="AI47" s="22">
        <v>5</v>
      </c>
      <c r="AJ47" s="22">
        <f t="shared" si="12"/>
        <v>100</v>
      </c>
      <c r="AK47" s="22">
        <f t="shared" si="3"/>
        <v>40</v>
      </c>
      <c r="AL47" s="28" t="str">
        <f t="shared" si="13"/>
        <v/>
      </c>
      <c r="AM47" s="22">
        <f t="shared" si="14"/>
        <v>100</v>
      </c>
      <c r="AN47" s="22" t="str">
        <f t="shared" si="15"/>
        <v>Aprobado</v>
      </c>
      <c r="AS47" s="34" t="str">
        <f t="shared" si="16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6"/>
        <v>5</v>
      </c>
      <c r="K48" s="22">
        <v>5</v>
      </c>
      <c r="L48" s="22">
        <f t="shared" si="7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8"/>
        <v>5</v>
      </c>
      <c r="W48" s="22">
        <v>5</v>
      </c>
      <c r="X48" s="22">
        <f t="shared" si="9"/>
        <v>100</v>
      </c>
      <c r="Y48" s="22">
        <f t="shared" si="2"/>
        <v>30</v>
      </c>
      <c r="Z48" s="28" t="str">
        <f t="shared" si="10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1"/>
        <v>5</v>
      </c>
      <c r="AI48" s="22">
        <v>5</v>
      </c>
      <c r="AJ48" s="22">
        <f t="shared" si="12"/>
        <v>100</v>
      </c>
      <c r="AK48" s="22">
        <f t="shared" si="3"/>
        <v>40</v>
      </c>
      <c r="AL48" s="28" t="str">
        <f t="shared" si="13"/>
        <v/>
      </c>
      <c r="AM48" s="22">
        <f t="shared" si="14"/>
        <v>100</v>
      </c>
      <c r="AN48" s="22" t="str">
        <f t="shared" si="15"/>
        <v>Aprobado</v>
      </c>
      <c r="AS48" s="34" t="str">
        <f t="shared" si="16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6"/>
        <v>5</v>
      </c>
      <c r="K49" s="24">
        <v>5</v>
      </c>
      <c r="L49" s="24">
        <f t="shared" si="7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8"/>
        <v>5</v>
      </c>
      <c r="W49" s="24">
        <v>5</v>
      </c>
      <c r="X49" s="24">
        <f t="shared" si="9"/>
        <v>100</v>
      </c>
      <c r="Y49" s="24">
        <f t="shared" si="2"/>
        <v>30</v>
      </c>
      <c r="Z49" s="28" t="str">
        <f t="shared" si="10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1"/>
        <v>5</v>
      </c>
      <c r="AI49" s="24">
        <v>5</v>
      </c>
      <c r="AJ49" s="24">
        <f t="shared" si="12"/>
        <v>100</v>
      </c>
      <c r="AK49" s="24">
        <f t="shared" si="3"/>
        <v>40</v>
      </c>
      <c r="AL49" s="28" t="str">
        <f t="shared" si="13"/>
        <v/>
      </c>
      <c r="AM49" s="24">
        <f t="shared" si="14"/>
        <v>100</v>
      </c>
      <c r="AN49" s="24" t="str">
        <f t="shared" si="15"/>
        <v>Aprobado</v>
      </c>
      <c r="AS49" s="34" t="str">
        <f t="shared" si="16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6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AS9:AU9"/>
    <mergeCell ref="AA8:AK8"/>
    <mergeCell ref="AB9:AC9"/>
    <mergeCell ref="AH9:AK9"/>
    <mergeCell ref="AD9:AG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2016-01-07T21:29:49Z</dcterms:modified>
</cp:coreProperties>
</file>