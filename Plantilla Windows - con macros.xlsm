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I11" i="1" l="1"/>
  <c r="V28" i="1"/>
  <c r="H11" i="1"/>
  <c r="AM21" i="1"/>
  <c r="AM37" i="1"/>
  <c r="AM16" i="1"/>
  <c r="AM32" i="1"/>
  <c r="AM15" i="1"/>
  <c r="AM31" i="1"/>
  <c r="AM47" i="1"/>
  <c r="AM26" i="1"/>
  <c r="AM46" i="1"/>
  <c r="AB49" i="1"/>
  <c r="AB41" i="1"/>
  <c r="AB33" i="1"/>
  <c r="AB25" i="1"/>
  <c r="AB17" i="1"/>
  <c r="AB48" i="1"/>
  <c r="AB40" i="1"/>
  <c r="AB32" i="1"/>
  <c r="AB24" i="1"/>
  <c r="AB16" i="1"/>
  <c r="R37" i="1"/>
  <c r="R15" i="1"/>
  <c r="R42" i="1"/>
  <c r="R34" i="1"/>
  <c r="R26" i="1"/>
  <c r="R18" i="1"/>
  <c r="R47" i="1"/>
  <c r="R39" i="1"/>
  <c r="R27" i="1"/>
  <c r="R13" i="1"/>
  <c r="H41" i="1"/>
  <c r="H25" i="1"/>
  <c r="H46" i="1"/>
  <c r="H30" i="1"/>
  <c r="H14" i="1"/>
  <c r="H35" i="1"/>
  <c r="H19" i="1"/>
  <c r="H40" i="1"/>
  <c r="H24" i="1"/>
  <c r="AB23" i="1"/>
  <c r="AB42" i="1"/>
  <c r="AB26" i="1"/>
  <c r="R49" i="1"/>
  <c r="R48" i="1"/>
  <c r="R32" i="1"/>
  <c r="R20" i="1"/>
  <c r="R41" i="1"/>
  <c r="R17" i="1"/>
  <c r="H37" i="1"/>
  <c r="H42" i="1"/>
  <c r="H18" i="1"/>
  <c r="H23" i="1"/>
  <c r="H28" i="1"/>
  <c r="AM25" i="1"/>
  <c r="AM41" i="1"/>
  <c r="AM20" i="1"/>
  <c r="AM36" i="1"/>
  <c r="AM19" i="1"/>
  <c r="AM35" i="1"/>
  <c r="AM14" i="1"/>
  <c r="AM30" i="1"/>
  <c r="AM50" i="1"/>
  <c r="AB47" i="1"/>
  <c r="AB39" i="1"/>
  <c r="AB31" i="1"/>
  <c r="AB19" i="1"/>
  <c r="AB46" i="1"/>
  <c r="AB30" i="1"/>
  <c r="AB14" i="1"/>
  <c r="R44" i="1"/>
  <c r="R28" i="1"/>
  <c r="R45" i="1"/>
  <c r="R25" i="1"/>
  <c r="H29" i="1"/>
  <c r="H34" i="1"/>
  <c r="H31" i="1"/>
  <c r="H36" i="1"/>
  <c r="H12" i="1"/>
  <c r="H15" i="1"/>
  <c r="AM38" i="1"/>
  <c r="AM13" i="1"/>
  <c r="AM29" i="1"/>
  <c r="AM45" i="1"/>
  <c r="AM24" i="1"/>
  <c r="AM40" i="1"/>
  <c r="AM23" i="1"/>
  <c r="AM39" i="1"/>
  <c r="AM18" i="1"/>
  <c r="AM34" i="1"/>
  <c r="AM44" i="1"/>
  <c r="AB45" i="1"/>
  <c r="AB37" i="1"/>
  <c r="AB29" i="1"/>
  <c r="AB21" i="1"/>
  <c r="AB13" i="1"/>
  <c r="AB44" i="1"/>
  <c r="AB36" i="1"/>
  <c r="AB28" i="1"/>
  <c r="AB20" i="1"/>
  <c r="AB11" i="1"/>
  <c r="R23" i="1"/>
  <c r="R46" i="1"/>
  <c r="R38" i="1"/>
  <c r="R30" i="1"/>
  <c r="R22" i="1"/>
  <c r="R14" i="1"/>
  <c r="R43" i="1"/>
  <c r="R33" i="1"/>
  <c r="R21" i="1"/>
  <c r="H49" i="1"/>
  <c r="H33" i="1"/>
  <c r="H17" i="1"/>
  <c r="H38" i="1"/>
  <c r="H22" i="1"/>
  <c r="H43" i="1"/>
  <c r="H27" i="1"/>
  <c r="H48" i="1"/>
  <c r="H32" i="1"/>
  <c r="H16" i="1"/>
  <c r="AB12" i="1"/>
  <c r="AB34" i="1"/>
  <c r="AB18" i="1"/>
  <c r="R29" i="1"/>
  <c r="R40" i="1"/>
  <c r="R24" i="1"/>
  <c r="R12" i="1"/>
  <c r="R31" i="1"/>
  <c r="H45" i="1"/>
  <c r="H21" i="1"/>
  <c r="H26" i="1"/>
  <c r="H39" i="1"/>
  <c r="H44" i="1"/>
  <c r="AM17" i="1"/>
  <c r="AM33" i="1"/>
  <c r="AM49" i="1"/>
  <c r="AM28" i="1"/>
  <c r="AM48" i="1"/>
  <c r="AM27" i="1"/>
  <c r="AM43" i="1"/>
  <c r="AM22" i="1"/>
  <c r="AM42" i="1"/>
  <c r="AB43" i="1"/>
  <c r="AB35" i="1"/>
  <c r="AB27" i="1"/>
  <c r="AB15" i="1"/>
  <c r="AB38" i="1"/>
  <c r="AB22" i="1"/>
  <c r="R19" i="1"/>
  <c r="R36" i="1"/>
  <c r="R16" i="1"/>
  <c r="R35" i="1"/>
  <c r="R11" i="1"/>
  <c r="H13" i="1"/>
  <c r="H47" i="1"/>
  <c r="H20" i="1"/>
  <c r="J11" i="1" l="1"/>
  <c r="K11" i="1" s="1"/>
  <c r="J12" i="1"/>
  <c r="K12" i="1" s="1"/>
  <c r="AD13" i="1"/>
  <c r="AE13" i="1" s="1"/>
  <c r="AD14" i="1"/>
  <c r="AE14" i="1" s="1"/>
  <c r="AD15" i="1"/>
  <c r="AE15" i="1" s="1"/>
  <c r="AD16" i="1"/>
  <c r="AE16" i="1" s="1"/>
  <c r="AD17" i="1"/>
  <c r="AE17" i="1" s="1"/>
  <c r="AD18" i="1"/>
  <c r="AE18" i="1" s="1"/>
  <c r="AD19" i="1"/>
  <c r="AE19" i="1" s="1"/>
  <c r="AD20" i="1"/>
  <c r="AE20" i="1" s="1"/>
  <c r="AD21" i="1"/>
  <c r="AE21" i="1" s="1"/>
  <c r="AD22" i="1"/>
  <c r="AE22" i="1" s="1"/>
  <c r="AD23" i="1"/>
  <c r="AE23" i="1" s="1"/>
  <c r="AD24" i="1"/>
  <c r="AE24" i="1" s="1"/>
  <c r="AD25" i="1"/>
  <c r="AE25" i="1" s="1"/>
  <c r="AD26" i="1"/>
  <c r="AE26" i="1" s="1"/>
  <c r="AD27" i="1"/>
  <c r="AE27" i="1" s="1"/>
  <c r="AD28" i="1"/>
  <c r="AE28" i="1" s="1"/>
  <c r="AD29" i="1"/>
  <c r="AE29" i="1" s="1"/>
  <c r="AD30" i="1"/>
  <c r="AE30" i="1" s="1"/>
  <c r="AD31" i="1"/>
  <c r="AE31" i="1" s="1"/>
  <c r="AD32" i="1"/>
  <c r="AE32" i="1" s="1"/>
  <c r="AD33" i="1"/>
  <c r="AE33" i="1" s="1"/>
  <c r="AD34" i="1"/>
  <c r="AE34" i="1" s="1"/>
  <c r="AD35" i="1"/>
  <c r="AE35" i="1" s="1"/>
  <c r="AD36" i="1"/>
  <c r="AE36" i="1" s="1"/>
  <c r="AD37" i="1"/>
  <c r="AE37" i="1" s="1"/>
  <c r="AD38" i="1"/>
  <c r="AE38" i="1" s="1"/>
  <c r="AD39" i="1"/>
  <c r="AE39" i="1" s="1"/>
  <c r="AD40" i="1"/>
  <c r="AE40" i="1" s="1"/>
  <c r="AD41" i="1"/>
  <c r="AE41" i="1" s="1"/>
  <c r="AD42" i="1"/>
  <c r="AE42" i="1" s="1"/>
  <c r="AD43" i="1"/>
  <c r="AE43" i="1" s="1"/>
  <c r="AD44" i="1"/>
  <c r="AE44" i="1" s="1"/>
  <c r="AD45" i="1"/>
  <c r="AE45" i="1" s="1"/>
  <c r="AD46" i="1"/>
  <c r="AE46" i="1" s="1"/>
  <c r="AD47" i="1"/>
  <c r="AE47" i="1" s="1"/>
  <c r="AD48" i="1"/>
  <c r="AE48" i="1" s="1"/>
  <c r="AD49" i="1"/>
  <c r="AE49" i="1" s="1"/>
  <c r="AD12" i="1"/>
  <c r="AE12" i="1" s="1"/>
  <c r="L11" i="1"/>
  <c r="J13" i="1" l="1"/>
  <c r="K13" i="1" s="1"/>
  <c r="T13" i="1"/>
  <c r="U13" i="1" s="1"/>
  <c r="V11" i="1"/>
  <c r="L48" i="1"/>
  <c r="L49" i="1"/>
  <c r="L34" i="1"/>
  <c r="L29" i="1"/>
  <c r="L39" i="1"/>
  <c r="L17" i="1"/>
  <c r="L25" i="1"/>
  <c r="L18" i="1"/>
  <c r="L26" i="1"/>
  <c r="L16" i="1"/>
  <c r="L42" i="1"/>
  <c r="L43" i="1"/>
  <c r="L28" i="1"/>
  <c r="L36" i="1"/>
  <c r="L31" i="1"/>
  <c r="L41" i="1"/>
  <c r="L19" i="1"/>
  <c r="L20" i="1"/>
  <c r="L37" i="1"/>
  <c r="L44" i="1"/>
  <c r="L45" i="1"/>
  <c r="L30" i="1"/>
  <c r="L38" i="1"/>
  <c r="L33" i="1"/>
  <c r="L13" i="1"/>
  <c r="L21" i="1"/>
  <c r="L14" i="1"/>
  <c r="L22" i="1"/>
  <c r="L23" i="1"/>
  <c r="L24" i="1"/>
  <c r="L46" i="1"/>
  <c r="L47" i="1"/>
  <c r="L32" i="1"/>
  <c r="L40" i="1"/>
  <c r="L35" i="1"/>
  <c r="L15" i="1"/>
  <c r="L27" i="1"/>
  <c r="L12" i="1"/>
  <c r="AG13" i="1" l="1"/>
  <c r="AH13" i="1" s="1"/>
  <c r="J14" i="1"/>
  <c r="K14" i="1" s="1"/>
  <c r="T14" i="1"/>
  <c r="U14" i="1" s="1"/>
  <c r="V23" i="1"/>
  <c r="V41" i="1"/>
  <c r="V17" i="1"/>
  <c r="V12" i="1"/>
  <c r="V15" i="1"/>
  <c r="V40" i="1"/>
  <c r="V47" i="1"/>
  <c r="V24" i="1"/>
  <c r="V22" i="1"/>
  <c r="V21" i="1"/>
  <c r="V33" i="1"/>
  <c r="V30" i="1"/>
  <c r="V44" i="1"/>
  <c r="V19" i="1"/>
  <c r="V31" i="1"/>
  <c r="V42" i="1"/>
  <c r="V26" i="1"/>
  <c r="V25" i="1"/>
  <c r="V39" i="1"/>
  <c r="V34" i="1"/>
  <c r="V48" i="1"/>
  <c r="V37" i="1"/>
  <c r="V27" i="1"/>
  <c r="V35" i="1"/>
  <c r="V32" i="1"/>
  <c r="V46" i="1"/>
  <c r="V14" i="1"/>
  <c r="V13" i="1"/>
  <c r="V38" i="1"/>
  <c r="V45" i="1"/>
  <c r="V20" i="1"/>
  <c r="V36" i="1"/>
  <c r="V43" i="1"/>
  <c r="V16" i="1"/>
  <c r="V18" i="1"/>
  <c r="V29" i="1"/>
  <c r="V49" i="1"/>
  <c r="AF11" i="1"/>
  <c r="AG14" i="1" l="1"/>
  <c r="AH14" i="1" s="1"/>
  <c r="J15" i="1"/>
  <c r="K15" i="1" s="1"/>
  <c r="T15" i="1"/>
  <c r="U15" i="1" s="1"/>
  <c r="AF34" i="1"/>
  <c r="AF25" i="1"/>
  <c r="AF42" i="1"/>
  <c r="AF31" i="1"/>
  <c r="AF44" i="1"/>
  <c r="AF33" i="1"/>
  <c r="AF22" i="1"/>
  <c r="AF47" i="1"/>
  <c r="AF15" i="1"/>
  <c r="AF49" i="1"/>
  <c r="AF17" i="1"/>
  <c r="AF16" i="1"/>
  <c r="AF36" i="1"/>
  <c r="AF20" i="1"/>
  <c r="AF38" i="1"/>
  <c r="AF14" i="1"/>
  <c r="AF46" i="1"/>
  <c r="AF35" i="1"/>
  <c r="AF48" i="1"/>
  <c r="AF39" i="1"/>
  <c r="AF26" i="1"/>
  <c r="AF28" i="1"/>
  <c r="AF19" i="1"/>
  <c r="AF30" i="1"/>
  <c r="AF21" i="1"/>
  <c r="AF24" i="1"/>
  <c r="AF40" i="1"/>
  <c r="AF12" i="1"/>
  <c r="AF29" i="1"/>
  <c r="AF18" i="1"/>
  <c r="AF43" i="1"/>
  <c r="AF41" i="1"/>
  <c r="AF45" i="1"/>
  <c r="AF13" i="1"/>
  <c r="AF23" i="1"/>
  <c r="AF32" i="1"/>
  <c r="AF27" i="1"/>
  <c r="AF37" i="1"/>
  <c r="AG15" i="1" l="1"/>
  <c r="AH15" i="1" s="1"/>
  <c r="J16" i="1"/>
  <c r="K16" i="1" s="1"/>
  <c r="T16" i="1"/>
  <c r="U16" i="1" s="1"/>
  <c r="AG16" i="1" l="1"/>
  <c r="AH16" i="1" s="1"/>
  <c r="J17" i="1"/>
  <c r="K17" i="1" s="1"/>
  <c r="T17" i="1"/>
  <c r="U17" i="1" s="1"/>
  <c r="AG17" i="1" l="1"/>
  <c r="AH17" i="1" s="1"/>
  <c r="J18" i="1"/>
  <c r="K18" i="1" s="1"/>
  <c r="T18" i="1"/>
  <c r="U18" i="1" s="1"/>
  <c r="AG18" i="1" l="1"/>
  <c r="AH18" i="1" s="1"/>
  <c r="J19" i="1"/>
  <c r="K19" i="1" s="1"/>
  <c r="T19" i="1"/>
  <c r="U19" i="1" s="1"/>
  <c r="AG19" i="1" l="1"/>
  <c r="AH19" i="1" s="1"/>
  <c r="J20" i="1"/>
  <c r="K20" i="1" s="1"/>
  <c r="T20" i="1"/>
  <c r="U20" i="1" s="1"/>
  <c r="AG20" i="1" l="1"/>
  <c r="AH20" i="1" s="1"/>
  <c r="J21" i="1"/>
  <c r="K21" i="1" s="1"/>
  <c r="T21" i="1"/>
  <c r="U21" i="1" s="1"/>
  <c r="AG21" i="1" l="1"/>
  <c r="AH21" i="1" s="1"/>
  <c r="J22" i="1"/>
  <c r="K22" i="1" s="1"/>
  <c r="T22" i="1"/>
  <c r="U22" i="1" s="1"/>
  <c r="AG22" i="1" l="1"/>
  <c r="AH22" i="1" s="1"/>
  <c r="J23" i="1"/>
  <c r="K23" i="1" s="1"/>
  <c r="T23" i="1"/>
  <c r="U23" i="1" s="1"/>
  <c r="AG23" i="1" l="1"/>
  <c r="AH23" i="1" s="1"/>
  <c r="J24" i="1"/>
  <c r="K24" i="1" s="1"/>
  <c r="T24" i="1"/>
  <c r="U24" i="1" s="1"/>
  <c r="AG24" i="1" l="1"/>
  <c r="AH24" i="1" s="1"/>
  <c r="J25" i="1"/>
  <c r="K25" i="1" s="1"/>
  <c r="T25" i="1"/>
  <c r="U25" i="1" s="1"/>
  <c r="AG25" i="1" l="1"/>
  <c r="AH25" i="1" s="1"/>
  <c r="J26" i="1"/>
  <c r="K26" i="1" s="1"/>
  <c r="T26" i="1"/>
  <c r="U26" i="1" s="1"/>
  <c r="AG26" i="1" l="1"/>
  <c r="AH26" i="1" s="1"/>
  <c r="J27" i="1"/>
  <c r="K27" i="1" s="1"/>
  <c r="T27" i="1"/>
  <c r="U27" i="1" s="1"/>
  <c r="AG27" i="1" l="1"/>
  <c r="AH27" i="1" s="1"/>
  <c r="J28" i="1"/>
  <c r="K28" i="1" s="1"/>
  <c r="T28" i="1"/>
  <c r="U28" i="1" s="1"/>
  <c r="AG28" i="1" l="1"/>
  <c r="AH28" i="1" s="1"/>
  <c r="J29" i="1"/>
  <c r="K29" i="1" s="1"/>
  <c r="T29" i="1"/>
  <c r="U29" i="1" s="1"/>
  <c r="AG29" i="1" l="1"/>
  <c r="AH29" i="1" s="1"/>
  <c r="J30" i="1"/>
  <c r="K30" i="1" s="1"/>
  <c r="T30" i="1"/>
  <c r="U30" i="1" s="1"/>
  <c r="AG30" i="1" l="1"/>
  <c r="AH30" i="1" s="1"/>
  <c r="J31" i="1"/>
  <c r="K31" i="1" s="1"/>
  <c r="T31" i="1"/>
  <c r="U31" i="1" s="1"/>
  <c r="AG31" i="1" l="1"/>
  <c r="AH31" i="1" s="1"/>
  <c r="J32" i="1"/>
  <c r="K32" i="1" s="1"/>
  <c r="T32" i="1"/>
  <c r="U32" i="1" s="1"/>
  <c r="AG32" i="1" l="1"/>
  <c r="AH32" i="1" s="1"/>
  <c r="J33" i="1"/>
  <c r="K33" i="1" s="1"/>
  <c r="T33" i="1"/>
  <c r="U33" i="1" s="1"/>
  <c r="AG33" i="1" l="1"/>
  <c r="AH33" i="1" s="1"/>
  <c r="J34" i="1"/>
  <c r="K34" i="1" s="1"/>
  <c r="T34" i="1"/>
  <c r="U34" i="1" s="1"/>
  <c r="AG34" i="1" l="1"/>
  <c r="AH34" i="1" s="1"/>
  <c r="J35" i="1"/>
  <c r="K35" i="1" s="1"/>
  <c r="T35" i="1"/>
  <c r="U35" i="1" s="1"/>
  <c r="AG35" i="1" l="1"/>
  <c r="AH35" i="1" s="1"/>
  <c r="J36" i="1"/>
  <c r="K36" i="1" s="1"/>
  <c r="T36" i="1"/>
  <c r="U36" i="1" s="1"/>
  <c r="AG36" i="1" l="1"/>
  <c r="AH36" i="1" s="1"/>
  <c r="J37" i="1"/>
  <c r="K37" i="1" s="1"/>
  <c r="T37" i="1"/>
  <c r="U37" i="1" s="1"/>
  <c r="AG37" i="1" l="1"/>
  <c r="AH37" i="1" s="1"/>
  <c r="J38" i="1"/>
  <c r="K38" i="1" s="1"/>
  <c r="T38" i="1"/>
  <c r="U38" i="1" s="1"/>
  <c r="AG38" i="1" l="1"/>
  <c r="AH38" i="1" s="1"/>
  <c r="J39" i="1"/>
  <c r="K39" i="1" s="1"/>
  <c r="T39" i="1"/>
  <c r="U39" i="1" s="1"/>
  <c r="AG39" i="1" l="1"/>
  <c r="AH39" i="1" s="1"/>
  <c r="J40" i="1"/>
  <c r="K40" i="1" s="1"/>
  <c r="T40" i="1"/>
  <c r="U40" i="1" s="1"/>
  <c r="AG40" i="1" l="1"/>
  <c r="AH40" i="1" s="1"/>
  <c r="J41" i="1"/>
  <c r="K41" i="1" s="1"/>
  <c r="T41" i="1"/>
  <c r="U41" i="1" s="1"/>
  <c r="AG41" i="1" l="1"/>
  <c r="AH41" i="1" s="1"/>
  <c r="J42" i="1"/>
  <c r="K42" i="1" s="1"/>
  <c r="T42" i="1"/>
  <c r="U42" i="1" s="1"/>
  <c r="AG42" i="1" l="1"/>
  <c r="AH42" i="1" s="1"/>
  <c r="J43" i="1"/>
  <c r="K43" i="1" s="1"/>
  <c r="T43" i="1"/>
  <c r="U43" i="1" s="1"/>
  <c r="AG43" i="1" l="1"/>
  <c r="AH43" i="1" s="1"/>
  <c r="J44" i="1"/>
  <c r="K44" i="1" s="1"/>
  <c r="T44" i="1"/>
  <c r="U44" i="1" s="1"/>
  <c r="AG44" i="1" l="1"/>
  <c r="AH44" i="1" s="1"/>
  <c r="J45" i="1"/>
  <c r="K45" i="1" s="1"/>
  <c r="T45" i="1"/>
  <c r="U45" i="1" s="1"/>
  <c r="AG45" i="1" l="1"/>
  <c r="AH45" i="1" s="1"/>
  <c r="J46" i="1"/>
  <c r="K46" i="1" s="1"/>
  <c r="T46" i="1"/>
  <c r="U46" i="1" s="1"/>
  <c r="AG46" i="1" l="1"/>
  <c r="AH46" i="1" s="1"/>
  <c r="J47" i="1"/>
  <c r="K47" i="1" s="1"/>
  <c r="T47" i="1"/>
  <c r="U47" i="1" s="1"/>
  <c r="AG47" i="1" l="1"/>
  <c r="AH47" i="1" s="1"/>
  <c r="J48" i="1"/>
  <c r="K48" i="1" s="1"/>
  <c r="T48" i="1"/>
  <c r="U48" i="1" s="1"/>
  <c r="AG48" i="1" l="1"/>
  <c r="AH48" i="1" s="1"/>
  <c r="J49" i="1"/>
  <c r="K49" i="1" s="1"/>
  <c r="T49" i="1"/>
  <c r="U49" i="1" s="1"/>
  <c r="AG49" i="1" l="1"/>
  <c r="AH49" i="1" s="1"/>
  <c r="T12" i="1"/>
  <c r="U12" i="1" s="1"/>
  <c r="AC11" i="1"/>
  <c r="AD11" i="1"/>
  <c r="S11" i="1"/>
  <c r="AG12" i="1" l="1"/>
  <c r="AH12" i="1" s="1"/>
  <c r="AE11" i="1"/>
  <c r="T11" i="1"/>
  <c r="U11" i="1" s="1"/>
  <c r="AG11" i="1" l="1"/>
  <c r="AH11" i="1" s="1"/>
</calcChain>
</file>

<file path=xl/sharedStrings.xml><?xml version="1.0" encoding="utf-8"?>
<sst xmlns="http://schemas.openxmlformats.org/spreadsheetml/2006/main" count="61" uniqueCount="30">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</sst>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</fills>
  <borders count="36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/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/>
      <top/>
      <bottom/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 applyFont="1" applyAlignment="1"/>
    <xf numFmtId="0" fontId="14" fillId="6" borderId="12" xfId="0" applyFont="1" applyFill="1" applyBorder="1" applyAlignment="1">
      <alignment horizontal="center" vertical="center"/>
    </xf>
    <xf numFmtId="0" fontId="13" fillId="6" borderId="12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2" xfId="0" applyFont="1" applyFill="1" applyBorder="1" applyAlignment="1">
      <alignment horizontal="center" vertical="center"/>
    </xf>
    <xf numFmtId="0" fontId="11" fillId="7" borderId="19" xfId="0" applyFont="1" applyFill="1" applyBorder="1" applyAlignment="1">
      <alignment horizontal="center" vertical="center"/>
    </xf>
    <xf numFmtId="0" fontId="11" fillId="8" borderId="2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10" borderId="27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8" xfId="0" applyFont="1" applyFill="1" applyBorder="1" applyAlignment="1">
      <alignment horizontal="center" vertical="center"/>
    </xf>
    <xf numFmtId="0" fontId="11" fillId="11" borderId="28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7" fillId="10" borderId="2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9" xfId="0" applyFont="1" applyFill="1" applyBorder="1" applyAlignment="1">
      <alignment horizontal="center" vertical="center"/>
    </xf>
    <xf numFmtId="0" fontId="2" fillId="11" borderId="30" xfId="0" applyFont="1" applyFill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12" fillId="11" borderId="33" xfId="0" applyFont="1" applyFill="1" applyBorder="1" applyAlignment="1">
      <alignment horizontal="center" vertical="center"/>
    </xf>
    <xf numFmtId="0" fontId="12" fillId="11" borderId="34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7" borderId="14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7" fillId="11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11" borderId="30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10" fillId="9" borderId="24" xfId="0" applyFont="1" applyFill="1" applyBorder="1" applyAlignment="1">
      <alignment horizontal="center" vertical="center"/>
    </xf>
    <xf numFmtId="0" fontId="11" fillId="3" borderId="35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304800</xdr:colOff>
          <xdr:row>1</xdr:row>
          <xdr:rowOff>57150</xdr:rowOff>
        </xdr:from>
        <xdr:to>
          <xdr:col>20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O57"/>
  <sheetViews>
    <sheetView tabSelected="1" topLeftCell="U7" zoomScale="50" zoomScaleNormal="50" workbookViewId="0">
      <selection activeCell="AF24" sqref="AF24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5" width="21.5703125" style="28" customWidth="1"/>
    <col min="6" max="8" width="14.42578125" style="28"/>
    <col min="9" max="9" width="15.85546875" style="28" customWidth="1"/>
    <col min="10" max="10" width="14.42578125" style="28"/>
    <col min="11" max="11" width="30" style="28" customWidth="1"/>
    <col min="12" max="12" width="28" style="28" customWidth="1"/>
    <col min="13" max="13" width="25.140625" style="28" customWidth="1"/>
    <col min="14" max="14" width="20.140625" style="28" customWidth="1"/>
    <col min="15" max="15" width="22.28515625" style="28" customWidth="1"/>
    <col min="16" max="17" width="14.42578125" style="28"/>
    <col min="18" max="18" width="14.7109375" style="28" customWidth="1"/>
    <col min="19" max="19" width="15.42578125" style="28" customWidth="1"/>
    <col min="20" max="20" width="14.42578125" style="28"/>
    <col min="21" max="21" width="28.5703125" style="28" customWidth="1"/>
    <col min="22" max="22" width="33.140625" style="28" customWidth="1"/>
    <col min="23" max="23" width="24.7109375" style="28" customWidth="1"/>
    <col min="24" max="24" width="21.7109375" style="28" customWidth="1"/>
    <col min="25" max="25" width="21.140625" style="28" customWidth="1"/>
    <col min="26" max="27" width="14.42578125" style="28"/>
    <col min="28" max="28" width="18.28515625" style="28" customWidth="1"/>
    <col min="29" max="29" width="16.7109375" style="28" customWidth="1"/>
    <col min="30" max="30" width="17.5703125" style="28" customWidth="1"/>
    <col min="31" max="31" width="30.7109375" style="28" customWidth="1"/>
    <col min="32" max="32" width="35.140625" style="28" customWidth="1"/>
    <col min="33" max="35" width="25" style="28" customWidth="1"/>
    <col min="36" max="36" width="14.42578125" style="28"/>
    <col min="37" max="37" width="30.140625" style="28" customWidth="1"/>
    <col min="38" max="16384" width="14.42578125" style="28"/>
  </cols>
  <sheetData>
    <row r="2" spans="1:41" ht="15.75" customHeight="1" x14ac:dyDescent="0.2">
      <c r="M2" s="42" t="s">
        <v>24</v>
      </c>
      <c r="N2" s="43"/>
      <c r="O2" s="43"/>
      <c r="P2" s="43"/>
      <c r="Q2" s="43"/>
      <c r="R2" s="43"/>
      <c r="S2" s="43"/>
      <c r="T2" s="44"/>
    </row>
    <row r="3" spans="1:41" ht="21" x14ac:dyDescent="0.2">
      <c r="C3" s="49" t="s">
        <v>0</v>
      </c>
      <c r="D3" s="50"/>
      <c r="E3" s="50"/>
      <c r="F3" s="51"/>
      <c r="M3" s="36"/>
      <c r="N3" s="55" t="s">
        <v>10</v>
      </c>
      <c r="O3" s="56"/>
      <c r="P3" s="55" t="s">
        <v>11</v>
      </c>
      <c r="Q3" s="56"/>
      <c r="R3" s="57"/>
      <c r="S3" s="56"/>
      <c r="T3" s="37"/>
    </row>
    <row r="4" spans="1:41" ht="21" x14ac:dyDescent="0.2">
      <c r="C4" s="6" t="s">
        <v>1</v>
      </c>
      <c r="D4" s="6" t="s">
        <v>2</v>
      </c>
      <c r="E4" s="6" t="s">
        <v>3</v>
      </c>
      <c r="F4" s="6" t="s">
        <v>4</v>
      </c>
      <c r="M4" s="26" t="s">
        <v>12</v>
      </c>
      <c r="N4" s="26" t="s">
        <v>13</v>
      </c>
      <c r="O4" s="26" t="s">
        <v>14</v>
      </c>
      <c r="P4" s="26" t="s">
        <v>15</v>
      </c>
      <c r="Q4" s="26" t="s">
        <v>16</v>
      </c>
      <c r="R4" s="26" t="s">
        <v>17</v>
      </c>
      <c r="S4" s="26" t="s">
        <v>18</v>
      </c>
      <c r="T4" s="26" t="s">
        <v>27</v>
      </c>
    </row>
    <row r="5" spans="1:41" ht="21" x14ac:dyDescent="0.2">
      <c r="C5" s="6" t="s">
        <v>5</v>
      </c>
      <c r="D5" s="6" t="s">
        <v>6</v>
      </c>
      <c r="E5" s="6" t="s">
        <v>28</v>
      </c>
      <c r="F5" s="6" t="s">
        <v>29</v>
      </c>
      <c r="M5" s="27">
        <v>20</v>
      </c>
      <c r="N5" s="27">
        <v>5</v>
      </c>
      <c r="O5" s="27">
        <v>5</v>
      </c>
      <c r="P5" s="27">
        <v>30</v>
      </c>
      <c r="Q5" s="27">
        <v>30</v>
      </c>
      <c r="R5" s="27">
        <v>5</v>
      </c>
      <c r="S5" s="27">
        <v>5</v>
      </c>
      <c r="T5" s="27">
        <v>70</v>
      </c>
      <c r="AB5" s="35" t="s">
        <v>26</v>
      </c>
    </row>
    <row r="7" spans="1:41" ht="12.75" x14ac:dyDescent="0.2">
      <c r="A7" s="25"/>
      <c r="B7" s="29"/>
    </row>
    <row r="8" spans="1:41" ht="27" x14ac:dyDescent="0.2">
      <c r="A8" s="25"/>
      <c r="C8" s="45" t="s">
        <v>7</v>
      </c>
      <c r="D8" s="46"/>
      <c r="E8" s="46"/>
      <c r="F8" s="46"/>
      <c r="G8" s="46"/>
      <c r="H8" s="46"/>
      <c r="I8" s="46"/>
      <c r="J8" s="46"/>
      <c r="K8" s="47"/>
      <c r="L8" s="30"/>
      <c r="M8" s="39" t="s">
        <v>8</v>
      </c>
      <c r="N8" s="40"/>
      <c r="O8" s="40"/>
      <c r="P8" s="40"/>
      <c r="Q8" s="40"/>
      <c r="R8" s="40"/>
      <c r="S8" s="40"/>
      <c r="T8" s="40"/>
      <c r="U8" s="41"/>
      <c r="W8" s="60" t="s">
        <v>9</v>
      </c>
      <c r="X8" s="40"/>
      <c r="Y8" s="40"/>
      <c r="Z8" s="40"/>
      <c r="AA8" s="40"/>
      <c r="AB8" s="40"/>
      <c r="AC8" s="40"/>
      <c r="AD8" s="40"/>
      <c r="AE8" s="41"/>
      <c r="AF8" s="7"/>
      <c r="AG8" s="7"/>
      <c r="AH8" s="7"/>
      <c r="AI8" s="7"/>
    </row>
    <row r="9" spans="1:41" ht="23.25" x14ac:dyDescent="0.2">
      <c r="A9" s="25"/>
      <c r="C9" s="3"/>
      <c r="D9" s="58" t="s">
        <v>10</v>
      </c>
      <c r="E9" s="47"/>
      <c r="F9" s="58" t="s">
        <v>11</v>
      </c>
      <c r="G9" s="47"/>
      <c r="H9" s="48"/>
      <c r="I9" s="46"/>
      <c r="J9" s="46"/>
      <c r="K9" s="47"/>
      <c r="L9" s="30"/>
      <c r="M9" s="31"/>
      <c r="N9" s="52" t="s">
        <v>10</v>
      </c>
      <c r="O9" s="53"/>
      <c r="P9" s="52" t="s">
        <v>11</v>
      </c>
      <c r="Q9" s="53"/>
      <c r="R9" s="54"/>
      <c r="S9" s="46"/>
      <c r="T9" s="46"/>
      <c r="U9" s="47"/>
      <c r="W9" s="32"/>
      <c r="X9" s="61" t="s">
        <v>10</v>
      </c>
      <c r="Y9" s="53"/>
      <c r="Z9" s="61" t="s">
        <v>11</v>
      </c>
      <c r="AA9" s="53"/>
      <c r="AB9" s="62"/>
      <c r="AC9" s="46"/>
      <c r="AD9" s="46"/>
      <c r="AE9" s="47"/>
      <c r="AM9" s="59"/>
      <c r="AN9" s="59"/>
      <c r="AO9" s="59"/>
    </row>
    <row r="10" spans="1:41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15</v>
      </c>
      <c r="G10" s="4" t="s">
        <v>16</v>
      </c>
      <c r="H10" s="4" t="s">
        <v>17</v>
      </c>
      <c r="I10" s="4" t="s">
        <v>18</v>
      </c>
      <c r="J10" s="4" t="s">
        <v>19</v>
      </c>
      <c r="K10" s="4" t="s">
        <v>20</v>
      </c>
      <c r="L10" s="30"/>
      <c r="M10" s="8" t="s">
        <v>12</v>
      </c>
      <c r="N10" s="9" t="s">
        <v>13</v>
      </c>
      <c r="O10" s="9" t="s">
        <v>14</v>
      </c>
      <c r="P10" s="9" t="s">
        <v>15</v>
      </c>
      <c r="Q10" s="9" t="s">
        <v>16</v>
      </c>
      <c r="R10" s="9" t="s">
        <v>17</v>
      </c>
      <c r="S10" s="9" t="s">
        <v>18</v>
      </c>
      <c r="T10" s="9" t="s">
        <v>19</v>
      </c>
      <c r="U10" s="10" t="s">
        <v>20</v>
      </c>
      <c r="W10" s="11" t="s">
        <v>12</v>
      </c>
      <c r="X10" s="12" t="s">
        <v>13</v>
      </c>
      <c r="Y10" s="12" t="s">
        <v>14</v>
      </c>
      <c r="Z10" s="12" t="s">
        <v>15</v>
      </c>
      <c r="AA10" s="12" t="s">
        <v>16</v>
      </c>
      <c r="AB10" s="12" t="s">
        <v>17</v>
      </c>
      <c r="AC10" s="12" t="s">
        <v>18</v>
      </c>
      <c r="AD10" s="12" t="s">
        <v>19</v>
      </c>
      <c r="AE10" s="13" t="s">
        <v>20</v>
      </c>
      <c r="AF10" s="14"/>
      <c r="AG10" s="63" t="s">
        <v>21</v>
      </c>
      <c r="AH10" s="63" t="s">
        <v>22</v>
      </c>
      <c r="AI10" s="7"/>
    </row>
    <row r="11" spans="1:41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30</v>
      </c>
      <c r="G11" s="5">
        <v>30</v>
      </c>
      <c r="H11" s="5">
        <f t="shared" ref="H11:H49" si="0">calcularConcepto(C11:G11)</f>
        <v>5</v>
      </c>
      <c r="I11" s="5">
        <f>ABS(S5)</f>
        <v>5</v>
      </c>
      <c r="J11" s="5">
        <f t="shared" ref="J11:J49" si="1">SUM(C11:I11)</f>
        <v>100</v>
      </c>
      <c r="K11" s="5">
        <f t="shared" ref="K11:K49" si="2">PRODUCT(J11,30%)</f>
        <v>30</v>
      </c>
      <c r="L11" s="33" t="str">
        <f>copyValue(B11)</f>
        <v>Estudiantes</v>
      </c>
      <c r="M11" s="15">
        <v>20</v>
      </c>
      <c r="N11" s="16">
        <v>5</v>
      </c>
      <c r="O11" s="16">
        <v>5</v>
      </c>
      <c r="P11" s="16">
        <v>30</v>
      </c>
      <c r="Q11" s="16">
        <v>30</v>
      </c>
      <c r="R11" s="16">
        <f>calcularConcepto(M11:Q11)</f>
        <v>5</v>
      </c>
      <c r="S11" s="16">
        <f t="shared" ref="S11" si="3">ABS(S5)</f>
        <v>5</v>
      </c>
      <c r="T11" s="16">
        <f t="shared" ref="T11:T49" si="4">SUM(M11:S11)</f>
        <v>100</v>
      </c>
      <c r="U11" s="16">
        <f t="shared" ref="U11:U49" si="5">PRODUCT(T11,30%)</f>
        <v>30</v>
      </c>
      <c r="V11" s="28" t="str">
        <f>copyValue(L11)</f>
        <v>Estudiantes</v>
      </c>
      <c r="W11" s="17">
        <v>20</v>
      </c>
      <c r="X11" s="17">
        <v>5</v>
      </c>
      <c r="Y11" s="17">
        <v>5</v>
      </c>
      <c r="Z11" s="17">
        <v>30</v>
      </c>
      <c r="AA11" s="17">
        <v>30</v>
      </c>
      <c r="AB11" s="17">
        <f>calcularConcepto(W11:AA11)</f>
        <v>5</v>
      </c>
      <c r="AC11" s="17">
        <f t="shared" ref="AC11" si="6">ABS(S5)</f>
        <v>5</v>
      </c>
      <c r="AD11" s="17">
        <f>SUM(W11:AC11)</f>
        <v>100</v>
      </c>
      <c r="AE11" s="17">
        <f t="shared" ref="AE11:AE49" si="7">PRODUCT(AD11,40%)</f>
        <v>40</v>
      </c>
      <c r="AF11" s="28" t="str">
        <f>copyValue(V11)</f>
        <v>Estudiantes</v>
      </c>
      <c r="AG11" s="64">
        <f t="shared" ref="AG11:AG49" si="8">SUM(AE11,U11,K11)</f>
        <v>100</v>
      </c>
      <c r="AH11" s="64" t="str">
        <f t="shared" ref="AH11:AH49" si="9">IF(AG11 &gt;=70,"Aprobado","Reprobado")</f>
        <v>Aprobado</v>
      </c>
      <c r="AI11" s="18"/>
      <c r="AM11" s="35"/>
      <c r="AN11" s="35"/>
      <c r="AO11" s="35"/>
    </row>
    <row r="12" spans="1:41" ht="16.5" customHeight="1" x14ac:dyDescent="0.2">
      <c r="A12" s="19">
        <v>1</v>
      </c>
      <c r="B12" s="38"/>
      <c r="C12" s="20">
        <v>20</v>
      </c>
      <c r="D12" s="20">
        <v>5</v>
      </c>
      <c r="E12" s="20">
        <v>5</v>
      </c>
      <c r="F12" s="20">
        <v>30</v>
      </c>
      <c r="G12" s="20">
        <v>30</v>
      </c>
      <c r="H12" s="20">
        <f t="shared" si="0"/>
        <v>5</v>
      </c>
      <c r="I12" s="20">
        <v>5</v>
      </c>
      <c r="J12" s="20">
        <f t="shared" si="1"/>
        <v>100</v>
      </c>
      <c r="K12" s="20">
        <f t="shared" si="2"/>
        <v>30</v>
      </c>
      <c r="L12" s="28" t="str">
        <f>copyValue(B12)</f>
        <v/>
      </c>
      <c r="M12" s="20">
        <v>20</v>
      </c>
      <c r="N12" s="20">
        <v>5</v>
      </c>
      <c r="O12" s="20">
        <v>5</v>
      </c>
      <c r="P12" s="20">
        <v>30</v>
      </c>
      <c r="Q12" s="20">
        <v>30</v>
      </c>
      <c r="R12" s="20">
        <f t="shared" ref="R12:R49" si="10">calcularConcepto(M12:Q12)</f>
        <v>5</v>
      </c>
      <c r="S12" s="20">
        <v>5</v>
      </c>
      <c r="T12" s="20">
        <f t="shared" si="4"/>
        <v>100</v>
      </c>
      <c r="U12" s="20">
        <f t="shared" si="5"/>
        <v>30</v>
      </c>
      <c r="V12" s="28" t="str">
        <f>copyValue(L12)</f>
        <v/>
      </c>
      <c r="W12" s="20">
        <v>20</v>
      </c>
      <c r="X12" s="20">
        <v>5</v>
      </c>
      <c r="Y12" s="22">
        <v>5</v>
      </c>
      <c r="Z12" s="22">
        <v>30</v>
      </c>
      <c r="AA12" s="22">
        <v>30</v>
      </c>
      <c r="AB12" s="22">
        <f t="shared" ref="AB12:AB49" si="11">calcularConcepto(W12:AA12)</f>
        <v>5</v>
      </c>
      <c r="AC12" s="22">
        <v>5</v>
      </c>
      <c r="AD12" s="22">
        <f>SUM(W12:AC12)</f>
        <v>100</v>
      </c>
      <c r="AE12" s="22">
        <f t="shared" si="7"/>
        <v>40</v>
      </c>
      <c r="AF12" s="28" t="str">
        <f>copyValue(V12)</f>
        <v/>
      </c>
      <c r="AG12" s="22">
        <f t="shared" si="8"/>
        <v>100</v>
      </c>
      <c r="AH12" s="22" t="str">
        <f t="shared" si="9"/>
        <v>Aprobado</v>
      </c>
      <c r="AK12" s="35"/>
      <c r="AL12" s="35"/>
      <c r="AM12" s="35"/>
    </row>
    <row r="13" spans="1:41" ht="15" customHeight="1" x14ac:dyDescent="0.2">
      <c r="A13" s="19">
        <v>2</v>
      </c>
      <c r="B13" s="34"/>
      <c r="C13" s="22">
        <v>20</v>
      </c>
      <c r="D13" s="22">
        <v>5</v>
      </c>
      <c r="E13" s="22">
        <v>5</v>
      </c>
      <c r="F13" s="22">
        <v>30</v>
      </c>
      <c r="G13" s="22">
        <v>30</v>
      </c>
      <c r="H13" s="22">
        <f t="shared" si="0"/>
        <v>5</v>
      </c>
      <c r="I13" s="22">
        <v>5</v>
      </c>
      <c r="J13" s="22">
        <f t="shared" si="1"/>
        <v>100</v>
      </c>
      <c r="K13" s="22">
        <f t="shared" si="2"/>
        <v>30</v>
      </c>
      <c r="L13" s="28" t="str">
        <f t="shared" ref="L13:L49" si="12">copyValue(B13)</f>
        <v/>
      </c>
      <c r="M13" s="22">
        <v>20</v>
      </c>
      <c r="N13" s="22">
        <v>5</v>
      </c>
      <c r="O13" s="22">
        <v>5</v>
      </c>
      <c r="P13" s="22">
        <v>30</v>
      </c>
      <c r="Q13" s="22">
        <v>30</v>
      </c>
      <c r="R13" s="22">
        <f t="shared" si="10"/>
        <v>5</v>
      </c>
      <c r="S13" s="22">
        <v>5</v>
      </c>
      <c r="T13" s="22">
        <f t="shared" si="4"/>
        <v>100</v>
      </c>
      <c r="U13" s="22">
        <f t="shared" si="5"/>
        <v>30</v>
      </c>
      <c r="V13" s="28" t="str">
        <f t="shared" ref="V13:V49" si="13">copyValue(L13)</f>
        <v/>
      </c>
      <c r="W13" s="22">
        <v>20</v>
      </c>
      <c r="X13" s="22">
        <v>5</v>
      </c>
      <c r="Y13" s="22">
        <v>5</v>
      </c>
      <c r="Z13" s="22">
        <v>30</v>
      </c>
      <c r="AA13" s="22">
        <v>30</v>
      </c>
      <c r="AB13" s="22">
        <f t="shared" si="11"/>
        <v>5</v>
      </c>
      <c r="AC13" s="22">
        <v>5</v>
      </c>
      <c r="AD13" s="22">
        <f t="shared" ref="AD13:AD49" si="14">SUM(W13:AC13)</f>
        <v>100</v>
      </c>
      <c r="AE13" s="22">
        <f t="shared" si="7"/>
        <v>40</v>
      </c>
      <c r="AF13" s="28" t="str">
        <f t="shared" ref="AF13:AF49" si="15">copyValue(V13)</f>
        <v/>
      </c>
      <c r="AG13" s="22">
        <f t="shared" si="8"/>
        <v>100</v>
      </c>
      <c r="AH13" s="22" t="str">
        <f t="shared" si="9"/>
        <v>Aprobado</v>
      </c>
      <c r="AM13" s="35" t="str">
        <f t="shared" ref="AM12:AM50" si="16">copyValue(B12)</f>
        <v/>
      </c>
    </row>
    <row r="14" spans="1:41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30</v>
      </c>
      <c r="G14" s="22">
        <v>30</v>
      </c>
      <c r="H14" s="22">
        <f t="shared" si="0"/>
        <v>5</v>
      </c>
      <c r="I14" s="22">
        <v>5</v>
      </c>
      <c r="J14" s="22">
        <f t="shared" si="1"/>
        <v>100</v>
      </c>
      <c r="K14" s="22">
        <f t="shared" si="2"/>
        <v>30</v>
      </c>
      <c r="L14" s="28" t="str">
        <f t="shared" si="12"/>
        <v/>
      </c>
      <c r="M14" s="22">
        <v>20</v>
      </c>
      <c r="N14" s="22">
        <v>5</v>
      </c>
      <c r="O14" s="22">
        <v>5</v>
      </c>
      <c r="P14" s="22">
        <v>30</v>
      </c>
      <c r="Q14" s="22">
        <v>30</v>
      </c>
      <c r="R14" s="22">
        <f t="shared" si="10"/>
        <v>5</v>
      </c>
      <c r="S14" s="22">
        <v>5</v>
      </c>
      <c r="T14" s="22">
        <f t="shared" si="4"/>
        <v>100</v>
      </c>
      <c r="U14" s="22">
        <f t="shared" si="5"/>
        <v>30</v>
      </c>
      <c r="V14" s="28" t="str">
        <f t="shared" si="13"/>
        <v/>
      </c>
      <c r="W14" s="22">
        <v>20</v>
      </c>
      <c r="X14" s="22">
        <v>5</v>
      </c>
      <c r="Y14" s="22">
        <v>5</v>
      </c>
      <c r="Z14" s="22">
        <v>30</v>
      </c>
      <c r="AA14" s="22">
        <v>30</v>
      </c>
      <c r="AB14" s="22">
        <f t="shared" si="11"/>
        <v>5</v>
      </c>
      <c r="AC14" s="22">
        <v>5</v>
      </c>
      <c r="AD14" s="22">
        <f t="shared" si="14"/>
        <v>100</v>
      </c>
      <c r="AE14" s="22">
        <f t="shared" si="7"/>
        <v>40</v>
      </c>
      <c r="AF14" s="28" t="str">
        <f t="shared" si="15"/>
        <v/>
      </c>
      <c r="AG14" s="22">
        <f t="shared" si="8"/>
        <v>100</v>
      </c>
      <c r="AH14" s="22" t="str">
        <f t="shared" si="9"/>
        <v>Aprobado</v>
      </c>
      <c r="AM14" s="35" t="str">
        <f t="shared" si="16"/>
        <v/>
      </c>
    </row>
    <row r="15" spans="1:41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30</v>
      </c>
      <c r="G15" s="22">
        <v>30</v>
      </c>
      <c r="H15" s="22">
        <f t="shared" si="0"/>
        <v>5</v>
      </c>
      <c r="I15" s="22">
        <v>5</v>
      </c>
      <c r="J15" s="22">
        <f t="shared" si="1"/>
        <v>100</v>
      </c>
      <c r="K15" s="22">
        <f t="shared" si="2"/>
        <v>30</v>
      </c>
      <c r="L15" s="28" t="str">
        <f t="shared" si="12"/>
        <v/>
      </c>
      <c r="M15" s="22">
        <v>20</v>
      </c>
      <c r="N15" s="22">
        <v>5</v>
      </c>
      <c r="O15" s="22">
        <v>5</v>
      </c>
      <c r="P15" s="22">
        <v>30</v>
      </c>
      <c r="Q15" s="22">
        <v>30</v>
      </c>
      <c r="R15" s="22">
        <f t="shared" si="10"/>
        <v>5</v>
      </c>
      <c r="S15" s="22">
        <v>5</v>
      </c>
      <c r="T15" s="22">
        <f t="shared" si="4"/>
        <v>100</v>
      </c>
      <c r="U15" s="22">
        <f t="shared" si="5"/>
        <v>30</v>
      </c>
      <c r="V15" s="28" t="str">
        <f t="shared" si="13"/>
        <v/>
      </c>
      <c r="W15" s="22">
        <v>20</v>
      </c>
      <c r="X15" s="22">
        <v>5</v>
      </c>
      <c r="Y15" s="22">
        <v>5</v>
      </c>
      <c r="Z15" s="22">
        <v>30</v>
      </c>
      <c r="AA15" s="22">
        <v>30</v>
      </c>
      <c r="AB15" s="22">
        <f t="shared" si="11"/>
        <v>5</v>
      </c>
      <c r="AC15" s="22">
        <v>5</v>
      </c>
      <c r="AD15" s="22">
        <f t="shared" si="14"/>
        <v>100</v>
      </c>
      <c r="AE15" s="22">
        <f t="shared" si="7"/>
        <v>40</v>
      </c>
      <c r="AF15" s="28" t="str">
        <f t="shared" si="15"/>
        <v/>
      </c>
      <c r="AG15" s="22">
        <f t="shared" si="8"/>
        <v>100</v>
      </c>
      <c r="AH15" s="22" t="str">
        <f t="shared" si="9"/>
        <v>Aprobado</v>
      </c>
      <c r="AM15" s="35" t="str">
        <f t="shared" si="16"/>
        <v/>
      </c>
    </row>
    <row r="16" spans="1:41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30</v>
      </c>
      <c r="G16" s="22">
        <v>30</v>
      </c>
      <c r="H16" s="22">
        <f t="shared" si="0"/>
        <v>5</v>
      </c>
      <c r="I16" s="22">
        <v>5</v>
      </c>
      <c r="J16" s="22">
        <f t="shared" si="1"/>
        <v>100</v>
      </c>
      <c r="K16" s="22">
        <f t="shared" si="2"/>
        <v>30</v>
      </c>
      <c r="L16" s="28" t="str">
        <f t="shared" si="12"/>
        <v/>
      </c>
      <c r="M16" s="22">
        <v>20</v>
      </c>
      <c r="N16" s="22">
        <v>5</v>
      </c>
      <c r="O16" s="22">
        <v>5</v>
      </c>
      <c r="P16" s="22">
        <v>30</v>
      </c>
      <c r="Q16" s="22">
        <v>30</v>
      </c>
      <c r="R16" s="22">
        <f t="shared" si="10"/>
        <v>5</v>
      </c>
      <c r="S16" s="22">
        <v>5</v>
      </c>
      <c r="T16" s="22">
        <f t="shared" si="4"/>
        <v>100</v>
      </c>
      <c r="U16" s="22">
        <f t="shared" si="5"/>
        <v>30</v>
      </c>
      <c r="V16" s="28" t="str">
        <f t="shared" si="13"/>
        <v/>
      </c>
      <c r="W16" s="22">
        <v>20</v>
      </c>
      <c r="X16" s="22">
        <v>5</v>
      </c>
      <c r="Y16" s="22">
        <v>5</v>
      </c>
      <c r="Z16" s="22">
        <v>30</v>
      </c>
      <c r="AA16" s="22">
        <v>30</v>
      </c>
      <c r="AB16" s="22">
        <f t="shared" si="11"/>
        <v>5</v>
      </c>
      <c r="AC16" s="22">
        <v>5</v>
      </c>
      <c r="AD16" s="22">
        <f t="shared" si="14"/>
        <v>100</v>
      </c>
      <c r="AE16" s="22">
        <f t="shared" si="7"/>
        <v>40</v>
      </c>
      <c r="AF16" s="28" t="str">
        <f t="shared" si="15"/>
        <v/>
      </c>
      <c r="AG16" s="22">
        <f t="shared" si="8"/>
        <v>100</v>
      </c>
      <c r="AH16" s="22" t="str">
        <f t="shared" si="9"/>
        <v>Aprobado</v>
      </c>
      <c r="AM16" s="35" t="str">
        <f t="shared" si="16"/>
        <v/>
      </c>
    </row>
    <row r="17" spans="1:39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30</v>
      </c>
      <c r="G17" s="22">
        <v>30</v>
      </c>
      <c r="H17" s="22">
        <f t="shared" si="0"/>
        <v>5</v>
      </c>
      <c r="I17" s="22">
        <v>5</v>
      </c>
      <c r="J17" s="22">
        <f t="shared" si="1"/>
        <v>100</v>
      </c>
      <c r="K17" s="22">
        <f t="shared" si="2"/>
        <v>30</v>
      </c>
      <c r="L17" s="28" t="str">
        <f t="shared" si="12"/>
        <v/>
      </c>
      <c r="M17" s="22">
        <v>20</v>
      </c>
      <c r="N17" s="22">
        <v>5</v>
      </c>
      <c r="O17" s="22">
        <v>5</v>
      </c>
      <c r="P17" s="22">
        <v>30</v>
      </c>
      <c r="Q17" s="22">
        <v>30</v>
      </c>
      <c r="R17" s="22">
        <f t="shared" si="10"/>
        <v>5</v>
      </c>
      <c r="S17" s="22">
        <v>5</v>
      </c>
      <c r="T17" s="22">
        <f t="shared" si="4"/>
        <v>100</v>
      </c>
      <c r="U17" s="22">
        <f t="shared" si="5"/>
        <v>30</v>
      </c>
      <c r="V17" s="28" t="str">
        <f t="shared" si="13"/>
        <v/>
      </c>
      <c r="W17" s="22">
        <v>20</v>
      </c>
      <c r="X17" s="22">
        <v>5</v>
      </c>
      <c r="Y17" s="22">
        <v>5</v>
      </c>
      <c r="Z17" s="22">
        <v>30</v>
      </c>
      <c r="AA17" s="22">
        <v>30</v>
      </c>
      <c r="AB17" s="22">
        <f t="shared" si="11"/>
        <v>5</v>
      </c>
      <c r="AC17" s="22">
        <v>5</v>
      </c>
      <c r="AD17" s="22">
        <f t="shared" si="14"/>
        <v>100</v>
      </c>
      <c r="AE17" s="22">
        <f t="shared" si="7"/>
        <v>40</v>
      </c>
      <c r="AF17" s="28" t="str">
        <f t="shared" si="15"/>
        <v/>
      </c>
      <c r="AG17" s="22">
        <f t="shared" si="8"/>
        <v>100</v>
      </c>
      <c r="AH17" s="22" t="str">
        <f t="shared" si="9"/>
        <v>Aprobado</v>
      </c>
      <c r="AM17" s="35" t="str">
        <f t="shared" si="16"/>
        <v/>
      </c>
    </row>
    <row r="18" spans="1:39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30</v>
      </c>
      <c r="G18" s="22">
        <v>30</v>
      </c>
      <c r="H18" s="22">
        <f t="shared" si="0"/>
        <v>5</v>
      </c>
      <c r="I18" s="22">
        <v>5</v>
      </c>
      <c r="J18" s="22">
        <f t="shared" si="1"/>
        <v>100</v>
      </c>
      <c r="K18" s="22">
        <f t="shared" si="2"/>
        <v>30</v>
      </c>
      <c r="L18" s="28" t="str">
        <f t="shared" si="12"/>
        <v/>
      </c>
      <c r="M18" s="22">
        <v>20</v>
      </c>
      <c r="N18" s="22">
        <v>5</v>
      </c>
      <c r="O18" s="22">
        <v>5</v>
      </c>
      <c r="P18" s="22">
        <v>30</v>
      </c>
      <c r="Q18" s="22">
        <v>30</v>
      </c>
      <c r="R18" s="22">
        <f t="shared" si="10"/>
        <v>5</v>
      </c>
      <c r="S18" s="22">
        <v>5</v>
      </c>
      <c r="T18" s="22">
        <f t="shared" si="4"/>
        <v>100</v>
      </c>
      <c r="U18" s="22">
        <f t="shared" si="5"/>
        <v>30</v>
      </c>
      <c r="V18" s="28" t="str">
        <f t="shared" si="13"/>
        <v/>
      </c>
      <c r="W18" s="22">
        <v>20</v>
      </c>
      <c r="X18" s="22">
        <v>5</v>
      </c>
      <c r="Y18" s="22">
        <v>5</v>
      </c>
      <c r="Z18" s="22">
        <v>30</v>
      </c>
      <c r="AA18" s="22">
        <v>30</v>
      </c>
      <c r="AB18" s="22">
        <f t="shared" si="11"/>
        <v>5</v>
      </c>
      <c r="AC18" s="22">
        <v>5</v>
      </c>
      <c r="AD18" s="22">
        <f t="shared" si="14"/>
        <v>100</v>
      </c>
      <c r="AE18" s="22">
        <f t="shared" si="7"/>
        <v>40</v>
      </c>
      <c r="AF18" s="28" t="str">
        <f t="shared" si="15"/>
        <v/>
      </c>
      <c r="AG18" s="22">
        <f t="shared" si="8"/>
        <v>100</v>
      </c>
      <c r="AH18" s="22" t="str">
        <f t="shared" si="9"/>
        <v>Aprobado</v>
      </c>
      <c r="AM18" s="35" t="str">
        <f t="shared" si="16"/>
        <v/>
      </c>
    </row>
    <row r="19" spans="1:39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30</v>
      </c>
      <c r="G19" s="22">
        <v>30</v>
      </c>
      <c r="H19" s="22">
        <f t="shared" si="0"/>
        <v>5</v>
      </c>
      <c r="I19" s="22">
        <v>5</v>
      </c>
      <c r="J19" s="22">
        <f t="shared" si="1"/>
        <v>100</v>
      </c>
      <c r="K19" s="22">
        <f t="shared" si="2"/>
        <v>30</v>
      </c>
      <c r="L19" s="28" t="str">
        <f t="shared" si="12"/>
        <v/>
      </c>
      <c r="M19" s="22">
        <v>20</v>
      </c>
      <c r="N19" s="22">
        <v>5</v>
      </c>
      <c r="O19" s="22">
        <v>5</v>
      </c>
      <c r="P19" s="22">
        <v>30</v>
      </c>
      <c r="Q19" s="22">
        <v>30</v>
      </c>
      <c r="R19" s="22">
        <f t="shared" si="10"/>
        <v>5</v>
      </c>
      <c r="S19" s="22">
        <v>5</v>
      </c>
      <c r="T19" s="22">
        <f t="shared" si="4"/>
        <v>100</v>
      </c>
      <c r="U19" s="22">
        <f t="shared" si="5"/>
        <v>30</v>
      </c>
      <c r="V19" s="28" t="str">
        <f t="shared" si="13"/>
        <v/>
      </c>
      <c r="W19" s="22">
        <v>20</v>
      </c>
      <c r="X19" s="22">
        <v>5</v>
      </c>
      <c r="Y19" s="22">
        <v>5</v>
      </c>
      <c r="Z19" s="22">
        <v>30</v>
      </c>
      <c r="AA19" s="22">
        <v>30</v>
      </c>
      <c r="AB19" s="22">
        <f t="shared" si="11"/>
        <v>5</v>
      </c>
      <c r="AC19" s="22">
        <v>5</v>
      </c>
      <c r="AD19" s="22">
        <f t="shared" si="14"/>
        <v>100</v>
      </c>
      <c r="AE19" s="22">
        <f t="shared" si="7"/>
        <v>40</v>
      </c>
      <c r="AF19" s="28" t="str">
        <f t="shared" si="15"/>
        <v/>
      </c>
      <c r="AG19" s="22">
        <f t="shared" si="8"/>
        <v>100</v>
      </c>
      <c r="AH19" s="22" t="str">
        <f t="shared" si="9"/>
        <v>Aprobado</v>
      </c>
      <c r="AM19" s="35" t="str">
        <f t="shared" si="16"/>
        <v/>
      </c>
    </row>
    <row r="20" spans="1:39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30</v>
      </c>
      <c r="G20" s="22">
        <v>30</v>
      </c>
      <c r="H20" s="22">
        <f t="shared" si="0"/>
        <v>5</v>
      </c>
      <c r="I20" s="22">
        <v>5</v>
      </c>
      <c r="J20" s="22">
        <f t="shared" si="1"/>
        <v>100</v>
      </c>
      <c r="K20" s="22">
        <f t="shared" si="2"/>
        <v>30</v>
      </c>
      <c r="L20" s="28" t="str">
        <f t="shared" si="12"/>
        <v/>
      </c>
      <c r="M20" s="22">
        <v>20</v>
      </c>
      <c r="N20" s="22">
        <v>5</v>
      </c>
      <c r="O20" s="22">
        <v>5</v>
      </c>
      <c r="P20" s="22">
        <v>30</v>
      </c>
      <c r="Q20" s="22">
        <v>30</v>
      </c>
      <c r="R20" s="22">
        <f t="shared" si="10"/>
        <v>5</v>
      </c>
      <c r="S20" s="22">
        <v>5</v>
      </c>
      <c r="T20" s="22">
        <f t="shared" si="4"/>
        <v>100</v>
      </c>
      <c r="U20" s="22">
        <f t="shared" si="5"/>
        <v>30</v>
      </c>
      <c r="V20" s="28" t="str">
        <f t="shared" si="13"/>
        <v/>
      </c>
      <c r="W20" s="22">
        <v>20</v>
      </c>
      <c r="X20" s="22">
        <v>5</v>
      </c>
      <c r="Y20" s="22">
        <v>5</v>
      </c>
      <c r="Z20" s="22">
        <v>30</v>
      </c>
      <c r="AA20" s="22">
        <v>30</v>
      </c>
      <c r="AB20" s="22">
        <f t="shared" si="11"/>
        <v>5</v>
      </c>
      <c r="AC20" s="22">
        <v>5</v>
      </c>
      <c r="AD20" s="22">
        <f t="shared" si="14"/>
        <v>100</v>
      </c>
      <c r="AE20" s="22">
        <f t="shared" si="7"/>
        <v>40</v>
      </c>
      <c r="AF20" s="28" t="str">
        <f t="shared" si="15"/>
        <v/>
      </c>
      <c r="AG20" s="22">
        <f t="shared" si="8"/>
        <v>100</v>
      </c>
      <c r="AH20" s="22" t="str">
        <f t="shared" si="9"/>
        <v>Aprobado</v>
      </c>
      <c r="AM20" s="35" t="str">
        <f t="shared" si="16"/>
        <v/>
      </c>
    </row>
    <row r="21" spans="1:39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30</v>
      </c>
      <c r="G21" s="22">
        <v>30</v>
      </c>
      <c r="H21" s="22">
        <f t="shared" si="0"/>
        <v>5</v>
      </c>
      <c r="I21" s="22">
        <v>5</v>
      </c>
      <c r="J21" s="22">
        <f t="shared" si="1"/>
        <v>100</v>
      </c>
      <c r="K21" s="22">
        <f t="shared" si="2"/>
        <v>30</v>
      </c>
      <c r="L21" s="28" t="str">
        <f t="shared" si="12"/>
        <v/>
      </c>
      <c r="M21" s="22">
        <v>20</v>
      </c>
      <c r="N21" s="22">
        <v>5</v>
      </c>
      <c r="O21" s="22">
        <v>5</v>
      </c>
      <c r="P21" s="22">
        <v>30</v>
      </c>
      <c r="Q21" s="22">
        <v>30</v>
      </c>
      <c r="R21" s="22">
        <f t="shared" si="10"/>
        <v>5</v>
      </c>
      <c r="S21" s="22">
        <v>5</v>
      </c>
      <c r="T21" s="22">
        <f t="shared" si="4"/>
        <v>100</v>
      </c>
      <c r="U21" s="22">
        <f t="shared" si="5"/>
        <v>30</v>
      </c>
      <c r="V21" s="28" t="str">
        <f t="shared" si="13"/>
        <v/>
      </c>
      <c r="W21" s="22">
        <v>20</v>
      </c>
      <c r="X21" s="22">
        <v>5</v>
      </c>
      <c r="Y21" s="22">
        <v>5</v>
      </c>
      <c r="Z21" s="22">
        <v>30</v>
      </c>
      <c r="AA21" s="22">
        <v>30</v>
      </c>
      <c r="AB21" s="22">
        <f t="shared" si="11"/>
        <v>5</v>
      </c>
      <c r="AC21" s="22">
        <v>5</v>
      </c>
      <c r="AD21" s="22">
        <f t="shared" si="14"/>
        <v>100</v>
      </c>
      <c r="AE21" s="22">
        <f t="shared" si="7"/>
        <v>40</v>
      </c>
      <c r="AF21" s="28" t="str">
        <f t="shared" si="15"/>
        <v/>
      </c>
      <c r="AG21" s="22">
        <f t="shared" si="8"/>
        <v>100</v>
      </c>
      <c r="AH21" s="22" t="str">
        <f t="shared" si="9"/>
        <v>Aprobado</v>
      </c>
      <c r="AM21" s="35" t="str">
        <f t="shared" si="16"/>
        <v/>
      </c>
    </row>
    <row r="22" spans="1:39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30</v>
      </c>
      <c r="G22" s="22">
        <v>30</v>
      </c>
      <c r="H22" s="22">
        <f t="shared" si="0"/>
        <v>5</v>
      </c>
      <c r="I22" s="22">
        <v>5</v>
      </c>
      <c r="J22" s="22">
        <f t="shared" si="1"/>
        <v>100</v>
      </c>
      <c r="K22" s="22">
        <f t="shared" si="2"/>
        <v>30</v>
      </c>
      <c r="L22" s="28" t="str">
        <f t="shared" si="12"/>
        <v/>
      </c>
      <c r="M22" s="22">
        <v>20</v>
      </c>
      <c r="N22" s="22">
        <v>5</v>
      </c>
      <c r="O22" s="22">
        <v>5</v>
      </c>
      <c r="P22" s="22">
        <v>30</v>
      </c>
      <c r="Q22" s="22">
        <v>30</v>
      </c>
      <c r="R22" s="22">
        <f t="shared" si="10"/>
        <v>5</v>
      </c>
      <c r="S22" s="22">
        <v>5</v>
      </c>
      <c r="T22" s="22">
        <f t="shared" si="4"/>
        <v>100</v>
      </c>
      <c r="U22" s="22">
        <f t="shared" si="5"/>
        <v>30</v>
      </c>
      <c r="V22" s="28" t="str">
        <f t="shared" si="13"/>
        <v/>
      </c>
      <c r="W22" s="22">
        <v>20</v>
      </c>
      <c r="X22" s="22">
        <v>5</v>
      </c>
      <c r="Y22" s="22">
        <v>5</v>
      </c>
      <c r="Z22" s="22">
        <v>30</v>
      </c>
      <c r="AA22" s="22">
        <v>30</v>
      </c>
      <c r="AB22" s="22">
        <f t="shared" si="11"/>
        <v>5</v>
      </c>
      <c r="AC22" s="22">
        <v>5</v>
      </c>
      <c r="AD22" s="22">
        <f t="shared" si="14"/>
        <v>100</v>
      </c>
      <c r="AE22" s="22">
        <f t="shared" si="7"/>
        <v>40</v>
      </c>
      <c r="AF22" s="28" t="str">
        <f t="shared" si="15"/>
        <v/>
      </c>
      <c r="AG22" s="22">
        <f t="shared" si="8"/>
        <v>100</v>
      </c>
      <c r="AH22" s="22" t="str">
        <f t="shared" si="9"/>
        <v>Aprobado</v>
      </c>
      <c r="AM22" s="35" t="str">
        <f t="shared" si="16"/>
        <v/>
      </c>
    </row>
    <row r="23" spans="1:39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30</v>
      </c>
      <c r="G23" s="22">
        <v>30</v>
      </c>
      <c r="H23" s="22">
        <f t="shared" si="0"/>
        <v>5</v>
      </c>
      <c r="I23" s="22">
        <v>5</v>
      </c>
      <c r="J23" s="22">
        <f t="shared" si="1"/>
        <v>100</v>
      </c>
      <c r="K23" s="22">
        <f t="shared" si="2"/>
        <v>30</v>
      </c>
      <c r="L23" s="28" t="str">
        <f t="shared" si="12"/>
        <v/>
      </c>
      <c r="M23" s="22">
        <v>20</v>
      </c>
      <c r="N23" s="22">
        <v>5</v>
      </c>
      <c r="O23" s="22">
        <v>5</v>
      </c>
      <c r="P23" s="22">
        <v>30</v>
      </c>
      <c r="Q23" s="22">
        <v>30</v>
      </c>
      <c r="R23" s="22">
        <f t="shared" si="10"/>
        <v>5</v>
      </c>
      <c r="S23" s="22">
        <v>5</v>
      </c>
      <c r="T23" s="22">
        <f t="shared" si="4"/>
        <v>100</v>
      </c>
      <c r="U23" s="22">
        <f t="shared" si="5"/>
        <v>30</v>
      </c>
      <c r="V23" s="28" t="str">
        <f t="shared" si="13"/>
        <v/>
      </c>
      <c r="W23" s="22">
        <v>20</v>
      </c>
      <c r="X23" s="22">
        <v>5</v>
      </c>
      <c r="Y23" s="22">
        <v>5</v>
      </c>
      <c r="Z23" s="22">
        <v>30</v>
      </c>
      <c r="AA23" s="22">
        <v>30</v>
      </c>
      <c r="AB23" s="22">
        <f t="shared" si="11"/>
        <v>5</v>
      </c>
      <c r="AC23" s="22">
        <v>5</v>
      </c>
      <c r="AD23" s="22">
        <f t="shared" si="14"/>
        <v>100</v>
      </c>
      <c r="AE23" s="22">
        <f t="shared" si="7"/>
        <v>40</v>
      </c>
      <c r="AF23" s="28" t="str">
        <f t="shared" si="15"/>
        <v/>
      </c>
      <c r="AG23" s="22">
        <f t="shared" si="8"/>
        <v>100</v>
      </c>
      <c r="AH23" s="22" t="str">
        <f t="shared" si="9"/>
        <v>Aprobado</v>
      </c>
      <c r="AM23" s="35" t="str">
        <f t="shared" si="16"/>
        <v/>
      </c>
    </row>
    <row r="24" spans="1:39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30</v>
      </c>
      <c r="G24" s="22">
        <v>30</v>
      </c>
      <c r="H24" s="22">
        <f t="shared" si="0"/>
        <v>5</v>
      </c>
      <c r="I24" s="22">
        <v>5</v>
      </c>
      <c r="J24" s="22">
        <f t="shared" si="1"/>
        <v>100</v>
      </c>
      <c r="K24" s="22">
        <f t="shared" si="2"/>
        <v>30</v>
      </c>
      <c r="L24" s="28" t="str">
        <f t="shared" si="12"/>
        <v/>
      </c>
      <c r="M24" s="22">
        <v>20</v>
      </c>
      <c r="N24" s="22">
        <v>5</v>
      </c>
      <c r="O24" s="22">
        <v>5</v>
      </c>
      <c r="P24" s="22">
        <v>30</v>
      </c>
      <c r="Q24" s="22">
        <v>30</v>
      </c>
      <c r="R24" s="22">
        <f t="shared" si="10"/>
        <v>5</v>
      </c>
      <c r="S24" s="22">
        <v>5</v>
      </c>
      <c r="T24" s="22">
        <f t="shared" si="4"/>
        <v>100</v>
      </c>
      <c r="U24" s="22">
        <f t="shared" si="5"/>
        <v>30</v>
      </c>
      <c r="V24" s="28" t="str">
        <f t="shared" si="13"/>
        <v/>
      </c>
      <c r="W24" s="22">
        <v>20</v>
      </c>
      <c r="X24" s="22">
        <v>5</v>
      </c>
      <c r="Y24" s="22">
        <v>5</v>
      </c>
      <c r="Z24" s="22">
        <v>30</v>
      </c>
      <c r="AA24" s="22">
        <v>30</v>
      </c>
      <c r="AB24" s="22">
        <f t="shared" si="11"/>
        <v>5</v>
      </c>
      <c r="AC24" s="22">
        <v>5</v>
      </c>
      <c r="AD24" s="22">
        <f t="shared" si="14"/>
        <v>100</v>
      </c>
      <c r="AE24" s="22">
        <f t="shared" si="7"/>
        <v>40</v>
      </c>
      <c r="AF24" s="28" t="str">
        <f t="shared" si="15"/>
        <v/>
      </c>
      <c r="AG24" s="22">
        <f t="shared" si="8"/>
        <v>100</v>
      </c>
      <c r="AH24" s="22" t="str">
        <f t="shared" si="9"/>
        <v>Aprobado</v>
      </c>
      <c r="AM24" s="35" t="str">
        <f t="shared" si="16"/>
        <v/>
      </c>
    </row>
    <row r="25" spans="1:39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30</v>
      </c>
      <c r="G25" s="22">
        <v>30</v>
      </c>
      <c r="H25" s="22">
        <f t="shared" si="0"/>
        <v>5</v>
      </c>
      <c r="I25" s="22">
        <v>5</v>
      </c>
      <c r="J25" s="22">
        <f t="shared" si="1"/>
        <v>100</v>
      </c>
      <c r="K25" s="22">
        <f t="shared" si="2"/>
        <v>30</v>
      </c>
      <c r="L25" s="28" t="str">
        <f t="shared" si="12"/>
        <v/>
      </c>
      <c r="M25" s="22">
        <v>20</v>
      </c>
      <c r="N25" s="22">
        <v>5</v>
      </c>
      <c r="O25" s="22">
        <v>5</v>
      </c>
      <c r="P25" s="22">
        <v>30</v>
      </c>
      <c r="Q25" s="22">
        <v>30</v>
      </c>
      <c r="R25" s="22">
        <f t="shared" si="10"/>
        <v>5</v>
      </c>
      <c r="S25" s="22">
        <v>5</v>
      </c>
      <c r="T25" s="22">
        <f t="shared" si="4"/>
        <v>100</v>
      </c>
      <c r="U25" s="22">
        <f t="shared" si="5"/>
        <v>30</v>
      </c>
      <c r="V25" s="28" t="str">
        <f t="shared" si="13"/>
        <v/>
      </c>
      <c r="W25" s="22">
        <v>20</v>
      </c>
      <c r="X25" s="22">
        <v>5</v>
      </c>
      <c r="Y25" s="22">
        <v>5</v>
      </c>
      <c r="Z25" s="22">
        <v>30</v>
      </c>
      <c r="AA25" s="22">
        <v>30</v>
      </c>
      <c r="AB25" s="22">
        <f t="shared" si="11"/>
        <v>5</v>
      </c>
      <c r="AC25" s="22">
        <v>5</v>
      </c>
      <c r="AD25" s="22">
        <f t="shared" si="14"/>
        <v>100</v>
      </c>
      <c r="AE25" s="22">
        <f t="shared" si="7"/>
        <v>40</v>
      </c>
      <c r="AF25" s="28" t="str">
        <f t="shared" si="15"/>
        <v/>
      </c>
      <c r="AG25" s="22">
        <f t="shared" si="8"/>
        <v>100</v>
      </c>
      <c r="AH25" s="22" t="str">
        <f t="shared" si="9"/>
        <v>Aprobado</v>
      </c>
      <c r="AM25" s="35" t="str">
        <f t="shared" si="16"/>
        <v/>
      </c>
    </row>
    <row r="26" spans="1:39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30</v>
      </c>
      <c r="G26" s="22">
        <v>30</v>
      </c>
      <c r="H26" s="22">
        <f t="shared" si="0"/>
        <v>5</v>
      </c>
      <c r="I26" s="22">
        <v>5</v>
      </c>
      <c r="J26" s="22">
        <f t="shared" si="1"/>
        <v>100</v>
      </c>
      <c r="K26" s="22">
        <f t="shared" si="2"/>
        <v>30</v>
      </c>
      <c r="L26" s="28" t="str">
        <f t="shared" si="12"/>
        <v/>
      </c>
      <c r="M26" s="22">
        <v>20</v>
      </c>
      <c r="N26" s="22">
        <v>5</v>
      </c>
      <c r="O26" s="22">
        <v>5</v>
      </c>
      <c r="P26" s="22">
        <v>30</v>
      </c>
      <c r="Q26" s="22">
        <v>30</v>
      </c>
      <c r="R26" s="22">
        <f t="shared" si="10"/>
        <v>5</v>
      </c>
      <c r="S26" s="22">
        <v>5</v>
      </c>
      <c r="T26" s="22">
        <f t="shared" si="4"/>
        <v>100</v>
      </c>
      <c r="U26" s="22">
        <f t="shared" si="5"/>
        <v>30</v>
      </c>
      <c r="V26" s="28" t="str">
        <f t="shared" si="13"/>
        <v/>
      </c>
      <c r="W26" s="22">
        <v>20</v>
      </c>
      <c r="X26" s="22">
        <v>5</v>
      </c>
      <c r="Y26" s="22">
        <v>5</v>
      </c>
      <c r="Z26" s="22">
        <v>30</v>
      </c>
      <c r="AA26" s="22">
        <v>30</v>
      </c>
      <c r="AB26" s="22">
        <f t="shared" si="11"/>
        <v>5</v>
      </c>
      <c r="AC26" s="22">
        <v>5</v>
      </c>
      <c r="AD26" s="22">
        <f t="shared" si="14"/>
        <v>100</v>
      </c>
      <c r="AE26" s="22">
        <f t="shared" si="7"/>
        <v>40</v>
      </c>
      <c r="AF26" s="28" t="str">
        <f t="shared" si="15"/>
        <v/>
      </c>
      <c r="AG26" s="22">
        <f t="shared" si="8"/>
        <v>100</v>
      </c>
      <c r="AH26" s="22" t="str">
        <f t="shared" si="9"/>
        <v>Aprobado</v>
      </c>
      <c r="AM26" s="35" t="str">
        <f t="shared" si="16"/>
        <v/>
      </c>
    </row>
    <row r="27" spans="1:39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30</v>
      </c>
      <c r="G27" s="22">
        <v>30</v>
      </c>
      <c r="H27" s="22">
        <f t="shared" si="0"/>
        <v>5</v>
      </c>
      <c r="I27" s="22">
        <v>5</v>
      </c>
      <c r="J27" s="22">
        <f t="shared" si="1"/>
        <v>100</v>
      </c>
      <c r="K27" s="22">
        <f t="shared" si="2"/>
        <v>30</v>
      </c>
      <c r="L27" s="28" t="str">
        <f t="shared" si="12"/>
        <v/>
      </c>
      <c r="M27" s="22">
        <v>20</v>
      </c>
      <c r="N27" s="22">
        <v>5</v>
      </c>
      <c r="O27" s="22">
        <v>5</v>
      </c>
      <c r="P27" s="22">
        <v>30</v>
      </c>
      <c r="Q27" s="22">
        <v>30</v>
      </c>
      <c r="R27" s="22">
        <f t="shared" si="10"/>
        <v>5</v>
      </c>
      <c r="S27" s="22">
        <v>5</v>
      </c>
      <c r="T27" s="22">
        <f t="shared" si="4"/>
        <v>100</v>
      </c>
      <c r="U27" s="22">
        <f t="shared" si="5"/>
        <v>30</v>
      </c>
      <c r="V27" s="28" t="str">
        <f t="shared" si="13"/>
        <v/>
      </c>
      <c r="W27" s="22">
        <v>20</v>
      </c>
      <c r="X27" s="22">
        <v>5</v>
      </c>
      <c r="Y27" s="22">
        <v>5</v>
      </c>
      <c r="Z27" s="22">
        <v>30</v>
      </c>
      <c r="AA27" s="22">
        <v>30</v>
      </c>
      <c r="AB27" s="22">
        <f t="shared" si="11"/>
        <v>5</v>
      </c>
      <c r="AC27" s="22">
        <v>5</v>
      </c>
      <c r="AD27" s="22">
        <f t="shared" si="14"/>
        <v>100</v>
      </c>
      <c r="AE27" s="22">
        <f t="shared" si="7"/>
        <v>40</v>
      </c>
      <c r="AF27" s="28" t="str">
        <f t="shared" si="15"/>
        <v/>
      </c>
      <c r="AG27" s="22">
        <f t="shared" si="8"/>
        <v>100</v>
      </c>
      <c r="AH27" s="22" t="str">
        <f t="shared" si="9"/>
        <v>Aprobado</v>
      </c>
      <c r="AM27" s="35" t="str">
        <f t="shared" si="16"/>
        <v/>
      </c>
    </row>
    <row r="28" spans="1:39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30</v>
      </c>
      <c r="G28" s="22">
        <v>30</v>
      </c>
      <c r="H28" s="22">
        <f t="shared" si="0"/>
        <v>5</v>
      </c>
      <c r="I28" s="22">
        <v>5</v>
      </c>
      <c r="J28" s="22">
        <f t="shared" si="1"/>
        <v>100</v>
      </c>
      <c r="K28" s="22">
        <f t="shared" si="2"/>
        <v>30</v>
      </c>
      <c r="L28" s="28" t="str">
        <f>copyValue(B28)</f>
        <v/>
      </c>
      <c r="M28" s="22">
        <v>20</v>
      </c>
      <c r="N28" s="22">
        <v>5</v>
      </c>
      <c r="O28" s="22">
        <v>5</v>
      </c>
      <c r="P28" s="22">
        <v>30</v>
      </c>
      <c r="Q28" s="22">
        <v>30</v>
      </c>
      <c r="R28" s="22">
        <f t="shared" si="10"/>
        <v>5</v>
      </c>
      <c r="S28" s="22">
        <v>5</v>
      </c>
      <c r="T28" s="22">
        <f t="shared" si="4"/>
        <v>100</v>
      </c>
      <c r="U28" s="22">
        <f t="shared" si="5"/>
        <v>30</v>
      </c>
      <c r="V28" s="28" t="str">
        <f>copyValue(L28)</f>
        <v/>
      </c>
      <c r="W28" s="22">
        <v>20</v>
      </c>
      <c r="X28" s="22">
        <v>5</v>
      </c>
      <c r="Y28" s="22">
        <v>5</v>
      </c>
      <c r="Z28" s="22">
        <v>30</v>
      </c>
      <c r="AA28" s="22">
        <v>30</v>
      </c>
      <c r="AB28" s="22">
        <f t="shared" si="11"/>
        <v>5</v>
      </c>
      <c r="AC28" s="22">
        <v>5</v>
      </c>
      <c r="AD28" s="22">
        <f t="shared" si="14"/>
        <v>100</v>
      </c>
      <c r="AE28" s="22">
        <f t="shared" si="7"/>
        <v>40</v>
      </c>
      <c r="AF28" s="28" t="str">
        <f>copyValue(V28)</f>
        <v/>
      </c>
      <c r="AG28" s="22">
        <f t="shared" si="8"/>
        <v>100</v>
      </c>
      <c r="AH28" s="22" t="str">
        <f t="shared" si="9"/>
        <v>Aprobado</v>
      </c>
      <c r="AM28" s="35" t="str">
        <f t="shared" si="16"/>
        <v/>
      </c>
    </row>
    <row r="29" spans="1:39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30</v>
      </c>
      <c r="G29" s="22">
        <v>30</v>
      </c>
      <c r="H29" s="22">
        <f t="shared" si="0"/>
        <v>5</v>
      </c>
      <c r="I29" s="22">
        <v>5</v>
      </c>
      <c r="J29" s="22">
        <f t="shared" si="1"/>
        <v>100</v>
      </c>
      <c r="K29" s="22">
        <f t="shared" si="2"/>
        <v>30</v>
      </c>
      <c r="L29" s="28" t="str">
        <f t="shared" si="12"/>
        <v/>
      </c>
      <c r="M29" s="22">
        <v>20</v>
      </c>
      <c r="N29" s="22">
        <v>5</v>
      </c>
      <c r="O29" s="22">
        <v>5</v>
      </c>
      <c r="P29" s="22">
        <v>30</v>
      </c>
      <c r="Q29" s="22">
        <v>30</v>
      </c>
      <c r="R29" s="22">
        <f t="shared" si="10"/>
        <v>5</v>
      </c>
      <c r="S29" s="22">
        <v>5</v>
      </c>
      <c r="T29" s="22">
        <f t="shared" si="4"/>
        <v>100</v>
      </c>
      <c r="U29" s="22">
        <f t="shared" si="5"/>
        <v>30</v>
      </c>
      <c r="V29" s="28" t="str">
        <f t="shared" si="13"/>
        <v/>
      </c>
      <c r="W29" s="22">
        <v>20</v>
      </c>
      <c r="X29" s="22">
        <v>5</v>
      </c>
      <c r="Y29" s="22">
        <v>5</v>
      </c>
      <c r="Z29" s="22">
        <v>30</v>
      </c>
      <c r="AA29" s="22">
        <v>30</v>
      </c>
      <c r="AB29" s="22">
        <f t="shared" si="11"/>
        <v>5</v>
      </c>
      <c r="AC29" s="22">
        <v>5</v>
      </c>
      <c r="AD29" s="22">
        <f t="shared" si="14"/>
        <v>100</v>
      </c>
      <c r="AE29" s="22">
        <f t="shared" si="7"/>
        <v>40</v>
      </c>
      <c r="AF29" s="28" t="str">
        <f t="shared" si="15"/>
        <v/>
      </c>
      <c r="AG29" s="22">
        <f t="shared" si="8"/>
        <v>100</v>
      </c>
      <c r="AH29" s="22" t="str">
        <f t="shared" si="9"/>
        <v>Aprobado</v>
      </c>
      <c r="AM29" s="35" t="str">
        <f t="shared" si="16"/>
        <v/>
      </c>
    </row>
    <row r="30" spans="1:39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30</v>
      </c>
      <c r="G30" s="22">
        <v>30</v>
      </c>
      <c r="H30" s="22">
        <f t="shared" si="0"/>
        <v>5</v>
      </c>
      <c r="I30" s="22">
        <v>5</v>
      </c>
      <c r="J30" s="22">
        <f t="shared" si="1"/>
        <v>100</v>
      </c>
      <c r="K30" s="22">
        <f t="shared" si="2"/>
        <v>30</v>
      </c>
      <c r="L30" s="28" t="str">
        <f t="shared" si="12"/>
        <v/>
      </c>
      <c r="M30" s="22">
        <v>20</v>
      </c>
      <c r="N30" s="22">
        <v>5</v>
      </c>
      <c r="O30" s="22">
        <v>5</v>
      </c>
      <c r="P30" s="22">
        <v>30</v>
      </c>
      <c r="Q30" s="22">
        <v>30</v>
      </c>
      <c r="R30" s="22">
        <f t="shared" si="10"/>
        <v>5</v>
      </c>
      <c r="S30" s="22">
        <v>5</v>
      </c>
      <c r="T30" s="22">
        <f t="shared" si="4"/>
        <v>100</v>
      </c>
      <c r="U30" s="22">
        <f t="shared" si="5"/>
        <v>30</v>
      </c>
      <c r="V30" s="28" t="str">
        <f t="shared" si="13"/>
        <v/>
      </c>
      <c r="W30" s="22">
        <v>20</v>
      </c>
      <c r="X30" s="22">
        <v>5</v>
      </c>
      <c r="Y30" s="22">
        <v>5</v>
      </c>
      <c r="Z30" s="22">
        <v>30</v>
      </c>
      <c r="AA30" s="22">
        <v>30</v>
      </c>
      <c r="AB30" s="22">
        <f t="shared" si="11"/>
        <v>5</v>
      </c>
      <c r="AC30" s="22">
        <v>5</v>
      </c>
      <c r="AD30" s="22">
        <f t="shared" si="14"/>
        <v>100</v>
      </c>
      <c r="AE30" s="22">
        <f t="shared" si="7"/>
        <v>40</v>
      </c>
      <c r="AF30" s="28" t="str">
        <f t="shared" si="15"/>
        <v/>
      </c>
      <c r="AG30" s="22">
        <f t="shared" si="8"/>
        <v>100</v>
      </c>
      <c r="AH30" s="22" t="str">
        <f t="shared" si="9"/>
        <v>Aprobado</v>
      </c>
      <c r="AM30" s="35" t="str">
        <f t="shared" si="16"/>
        <v/>
      </c>
    </row>
    <row r="31" spans="1:39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30</v>
      </c>
      <c r="G31" s="22">
        <v>30</v>
      </c>
      <c r="H31" s="22">
        <f t="shared" si="0"/>
        <v>5</v>
      </c>
      <c r="I31" s="22">
        <v>5</v>
      </c>
      <c r="J31" s="22">
        <f t="shared" si="1"/>
        <v>100</v>
      </c>
      <c r="K31" s="22">
        <f t="shared" si="2"/>
        <v>30</v>
      </c>
      <c r="L31" s="28" t="str">
        <f t="shared" si="12"/>
        <v/>
      </c>
      <c r="M31" s="22">
        <v>20</v>
      </c>
      <c r="N31" s="22">
        <v>5</v>
      </c>
      <c r="O31" s="22">
        <v>5</v>
      </c>
      <c r="P31" s="22">
        <v>30</v>
      </c>
      <c r="Q31" s="22">
        <v>30</v>
      </c>
      <c r="R31" s="22">
        <f t="shared" si="10"/>
        <v>5</v>
      </c>
      <c r="S31" s="22">
        <v>5</v>
      </c>
      <c r="T31" s="22">
        <f t="shared" si="4"/>
        <v>100</v>
      </c>
      <c r="U31" s="22">
        <f t="shared" si="5"/>
        <v>30</v>
      </c>
      <c r="V31" s="28" t="str">
        <f t="shared" si="13"/>
        <v/>
      </c>
      <c r="W31" s="22">
        <v>20</v>
      </c>
      <c r="X31" s="22">
        <v>5</v>
      </c>
      <c r="Y31" s="22">
        <v>5</v>
      </c>
      <c r="Z31" s="22">
        <v>30</v>
      </c>
      <c r="AA31" s="22">
        <v>30</v>
      </c>
      <c r="AB31" s="22">
        <f t="shared" si="11"/>
        <v>5</v>
      </c>
      <c r="AC31" s="22">
        <v>5</v>
      </c>
      <c r="AD31" s="22">
        <f t="shared" si="14"/>
        <v>100</v>
      </c>
      <c r="AE31" s="22">
        <f t="shared" si="7"/>
        <v>40</v>
      </c>
      <c r="AF31" s="28" t="str">
        <f t="shared" si="15"/>
        <v/>
      </c>
      <c r="AG31" s="22">
        <f t="shared" si="8"/>
        <v>100</v>
      </c>
      <c r="AH31" s="22" t="str">
        <f t="shared" si="9"/>
        <v>Aprobado</v>
      </c>
      <c r="AM31" s="35" t="str">
        <f t="shared" si="16"/>
        <v/>
      </c>
    </row>
    <row r="32" spans="1:39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30</v>
      </c>
      <c r="G32" s="22">
        <v>30</v>
      </c>
      <c r="H32" s="22">
        <f t="shared" si="0"/>
        <v>5</v>
      </c>
      <c r="I32" s="22">
        <v>5</v>
      </c>
      <c r="J32" s="22">
        <f t="shared" si="1"/>
        <v>100</v>
      </c>
      <c r="K32" s="22">
        <f t="shared" si="2"/>
        <v>30</v>
      </c>
      <c r="L32" s="28" t="str">
        <f t="shared" si="12"/>
        <v/>
      </c>
      <c r="M32" s="22">
        <v>20</v>
      </c>
      <c r="N32" s="22">
        <v>5</v>
      </c>
      <c r="O32" s="22">
        <v>5</v>
      </c>
      <c r="P32" s="22">
        <v>30</v>
      </c>
      <c r="Q32" s="22">
        <v>30</v>
      </c>
      <c r="R32" s="22">
        <f t="shared" si="10"/>
        <v>5</v>
      </c>
      <c r="S32" s="22">
        <v>5</v>
      </c>
      <c r="T32" s="22">
        <f t="shared" si="4"/>
        <v>100</v>
      </c>
      <c r="U32" s="22">
        <f t="shared" si="5"/>
        <v>30</v>
      </c>
      <c r="V32" s="28" t="str">
        <f t="shared" si="13"/>
        <v/>
      </c>
      <c r="W32" s="22">
        <v>20</v>
      </c>
      <c r="X32" s="22">
        <v>5</v>
      </c>
      <c r="Y32" s="22">
        <v>5</v>
      </c>
      <c r="Z32" s="22">
        <v>30</v>
      </c>
      <c r="AA32" s="22">
        <v>30</v>
      </c>
      <c r="AB32" s="22">
        <f t="shared" si="11"/>
        <v>5</v>
      </c>
      <c r="AC32" s="22">
        <v>5</v>
      </c>
      <c r="AD32" s="22">
        <f t="shared" si="14"/>
        <v>100</v>
      </c>
      <c r="AE32" s="22">
        <f t="shared" si="7"/>
        <v>40</v>
      </c>
      <c r="AF32" s="28" t="str">
        <f t="shared" si="15"/>
        <v/>
      </c>
      <c r="AG32" s="22">
        <f t="shared" si="8"/>
        <v>100</v>
      </c>
      <c r="AH32" s="22" t="str">
        <f t="shared" si="9"/>
        <v>Aprobado</v>
      </c>
      <c r="AM32" s="35" t="str">
        <f t="shared" si="16"/>
        <v/>
      </c>
    </row>
    <row r="33" spans="1:39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30</v>
      </c>
      <c r="G33" s="22">
        <v>30</v>
      </c>
      <c r="H33" s="22">
        <f t="shared" si="0"/>
        <v>5</v>
      </c>
      <c r="I33" s="22">
        <v>5</v>
      </c>
      <c r="J33" s="22">
        <f t="shared" si="1"/>
        <v>100</v>
      </c>
      <c r="K33" s="22">
        <f t="shared" si="2"/>
        <v>30</v>
      </c>
      <c r="L33" s="28" t="str">
        <f t="shared" si="12"/>
        <v/>
      </c>
      <c r="M33" s="22">
        <v>20</v>
      </c>
      <c r="N33" s="22">
        <v>5</v>
      </c>
      <c r="O33" s="22">
        <v>5</v>
      </c>
      <c r="P33" s="22">
        <v>30</v>
      </c>
      <c r="Q33" s="22">
        <v>30</v>
      </c>
      <c r="R33" s="22">
        <f t="shared" si="10"/>
        <v>5</v>
      </c>
      <c r="S33" s="22">
        <v>5</v>
      </c>
      <c r="T33" s="22">
        <f t="shared" si="4"/>
        <v>100</v>
      </c>
      <c r="U33" s="22">
        <f t="shared" si="5"/>
        <v>30</v>
      </c>
      <c r="V33" s="28" t="str">
        <f t="shared" si="13"/>
        <v/>
      </c>
      <c r="W33" s="22">
        <v>20</v>
      </c>
      <c r="X33" s="22">
        <v>5</v>
      </c>
      <c r="Y33" s="22">
        <v>5</v>
      </c>
      <c r="Z33" s="22">
        <v>30</v>
      </c>
      <c r="AA33" s="22">
        <v>30</v>
      </c>
      <c r="AB33" s="22">
        <f t="shared" si="11"/>
        <v>5</v>
      </c>
      <c r="AC33" s="22">
        <v>5</v>
      </c>
      <c r="AD33" s="22">
        <f t="shared" si="14"/>
        <v>100</v>
      </c>
      <c r="AE33" s="22">
        <f t="shared" si="7"/>
        <v>40</v>
      </c>
      <c r="AF33" s="28" t="str">
        <f t="shared" si="15"/>
        <v/>
      </c>
      <c r="AG33" s="22">
        <f t="shared" si="8"/>
        <v>100</v>
      </c>
      <c r="AH33" s="22" t="str">
        <f t="shared" si="9"/>
        <v>Aprobado</v>
      </c>
      <c r="AM33" s="35" t="str">
        <f t="shared" si="16"/>
        <v/>
      </c>
    </row>
    <row r="34" spans="1:39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30</v>
      </c>
      <c r="G34" s="22">
        <v>30</v>
      </c>
      <c r="H34" s="22">
        <f t="shared" si="0"/>
        <v>5</v>
      </c>
      <c r="I34" s="22">
        <v>5</v>
      </c>
      <c r="J34" s="22">
        <f t="shared" si="1"/>
        <v>100</v>
      </c>
      <c r="K34" s="22">
        <f t="shared" si="2"/>
        <v>30</v>
      </c>
      <c r="L34" s="28" t="str">
        <f t="shared" si="12"/>
        <v/>
      </c>
      <c r="M34" s="22">
        <v>20</v>
      </c>
      <c r="N34" s="22">
        <v>5</v>
      </c>
      <c r="O34" s="22">
        <v>5</v>
      </c>
      <c r="P34" s="22">
        <v>30</v>
      </c>
      <c r="Q34" s="22">
        <v>30</v>
      </c>
      <c r="R34" s="22">
        <f t="shared" si="10"/>
        <v>5</v>
      </c>
      <c r="S34" s="22">
        <v>5</v>
      </c>
      <c r="T34" s="22">
        <f t="shared" si="4"/>
        <v>100</v>
      </c>
      <c r="U34" s="22">
        <f t="shared" si="5"/>
        <v>30</v>
      </c>
      <c r="V34" s="28" t="str">
        <f t="shared" si="13"/>
        <v/>
      </c>
      <c r="W34" s="22">
        <v>20</v>
      </c>
      <c r="X34" s="22">
        <v>5</v>
      </c>
      <c r="Y34" s="22">
        <v>5</v>
      </c>
      <c r="Z34" s="22">
        <v>30</v>
      </c>
      <c r="AA34" s="22">
        <v>30</v>
      </c>
      <c r="AB34" s="22">
        <f t="shared" si="11"/>
        <v>5</v>
      </c>
      <c r="AC34" s="22">
        <v>5</v>
      </c>
      <c r="AD34" s="22">
        <f t="shared" si="14"/>
        <v>100</v>
      </c>
      <c r="AE34" s="22">
        <f t="shared" si="7"/>
        <v>40</v>
      </c>
      <c r="AF34" s="28" t="str">
        <f t="shared" si="15"/>
        <v/>
      </c>
      <c r="AG34" s="22">
        <f t="shared" si="8"/>
        <v>100</v>
      </c>
      <c r="AH34" s="22" t="str">
        <f t="shared" si="9"/>
        <v>Aprobado</v>
      </c>
      <c r="AM34" s="35" t="str">
        <f t="shared" si="16"/>
        <v/>
      </c>
    </row>
    <row r="35" spans="1:39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30</v>
      </c>
      <c r="G35" s="22">
        <v>30</v>
      </c>
      <c r="H35" s="22">
        <f t="shared" si="0"/>
        <v>5</v>
      </c>
      <c r="I35" s="22">
        <v>5</v>
      </c>
      <c r="J35" s="22">
        <f t="shared" si="1"/>
        <v>100</v>
      </c>
      <c r="K35" s="22">
        <f t="shared" si="2"/>
        <v>30</v>
      </c>
      <c r="L35" s="28" t="str">
        <f t="shared" si="12"/>
        <v/>
      </c>
      <c r="M35" s="22">
        <v>20</v>
      </c>
      <c r="N35" s="22">
        <v>5</v>
      </c>
      <c r="O35" s="22">
        <v>5</v>
      </c>
      <c r="P35" s="22">
        <v>30</v>
      </c>
      <c r="Q35" s="22">
        <v>30</v>
      </c>
      <c r="R35" s="22">
        <f t="shared" si="10"/>
        <v>5</v>
      </c>
      <c r="S35" s="22">
        <v>5</v>
      </c>
      <c r="T35" s="22">
        <f t="shared" si="4"/>
        <v>100</v>
      </c>
      <c r="U35" s="22">
        <f t="shared" si="5"/>
        <v>30</v>
      </c>
      <c r="V35" s="28" t="str">
        <f t="shared" si="13"/>
        <v/>
      </c>
      <c r="W35" s="22">
        <v>20</v>
      </c>
      <c r="X35" s="22">
        <v>5</v>
      </c>
      <c r="Y35" s="22">
        <v>5</v>
      </c>
      <c r="Z35" s="22">
        <v>30</v>
      </c>
      <c r="AA35" s="22">
        <v>30</v>
      </c>
      <c r="AB35" s="22">
        <f t="shared" si="11"/>
        <v>5</v>
      </c>
      <c r="AC35" s="22">
        <v>5</v>
      </c>
      <c r="AD35" s="22">
        <f t="shared" si="14"/>
        <v>100</v>
      </c>
      <c r="AE35" s="22">
        <f t="shared" si="7"/>
        <v>40</v>
      </c>
      <c r="AF35" s="28" t="str">
        <f t="shared" si="15"/>
        <v/>
      </c>
      <c r="AG35" s="22">
        <f t="shared" si="8"/>
        <v>100</v>
      </c>
      <c r="AH35" s="22" t="str">
        <f t="shared" si="9"/>
        <v>Aprobado</v>
      </c>
      <c r="AM35" s="35" t="str">
        <f t="shared" si="16"/>
        <v/>
      </c>
    </row>
    <row r="36" spans="1:39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30</v>
      </c>
      <c r="G36" s="22">
        <v>30</v>
      </c>
      <c r="H36" s="22">
        <f t="shared" si="0"/>
        <v>5</v>
      </c>
      <c r="I36" s="22">
        <v>5</v>
      </c>
      <c r="J36" s="22">
        <f t="shared" si="1"/>
        <v>100</v>
      </c>
      <c r="K36" s="22">
        <f t="shared" si="2"/>
        <v>30</v>
      </c>
      <c r="L36" s="28" t="str">
        <f t="shared" si="12"/>
        <v/>
      </c>
      <c r="M36" s="22">
        <v>20</v>
      </c>
      <c r="N36" s="22">
        <v>5</v>
      </c>
      <c r="O36" s="22">
        <v>5</v>
      </c>
      <c r="P36" s="22">
        <v>30</v>
      </c>
      <c r="Q36" s="22">
        <v>30</v>
      </c>
      <c r="R36" s="22">
        <f t="shared" si="10"/>
        <v>5</v>
      </c>
      <c r="S36" s="22">
        <v>5</v>
      </c>
      <c r="T36" s="22">
        <f t="shared" si="4"/>
        <v>100</v>
      </c>
      <c r="U36" s="22">
        <f t="shared" si="5"/>
        <v>30</v>
      </c>
      <c r="V36" s="28" t="str">
        <f t="shared" si="13"/>
        <v/>
      </c>
      <c r="W36" s="22">
        <v>20</v>
      </c>
      <c r="X36" s="22">
        <v>5</v>
      </c>
      <c r="Y36" s="22">
        <v>5</v>
      </c>
      <c r="Z36" s="22">
        <v>30</v>
      </c>
      <c r="AA36" s="22">
        <v>30</v>
      </c>
      <c r="AB36" s="22">
        <f t="shared" si="11"/>
        <v>5</v>
      </c>
      <c r="AC36" s="22">
        <v>5</v>
      </c>
      <c r="AD36" s="22">
        <f t="shared" si="14"/>
        <v>100</v>
      </c>
      <c r="AE36" s="22">
        <f t="shared" si="7"/>
        <v>40</v>
      </c>
      <c r="AF36" s="28" t="str">
        <f t="shared" si="15"/>
        <v/>
      </c>
      <c r="AG36" s="22">
        <f t="shared" si="8"/>
        <v>100</v>
      </c>
      <c r="AH36" s="22" t="str">
        <f t="shared" si="9"/>
        <v>Aprobado</v>
      </c>
      <c r="AM36" s="35" t="str">
        <f t="shared" si="16"/>
        <v/>
      </c>
    </row>
    <row r="37" spans="1:39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30</v>
      </c>
      <c r="G37" s="22">
        <v>30</v>
      </c>
      <c r="H37" s="22">
        <f t="shared" si="0"/>
        <v>5</v>
      </c>
      <c r="I37" s="22">
        <v>5</v>
      </c>
      <c r="J37" s="22">
        <f t="shared" si="1"/>
        <v>100</v>
      </c>
      <c r="K37" s="22">
        <f t="shared" si="2"/>
        <v>30</v>
      </c>
      <c r="L37" s="28" t="str">
        <f t="shared" si="12"/>
        <v/>
      </c>
      <c r="M37" s="22">
        <v>20</v>
      </c>
      <c r="N37" s="22">
        <v>5</v>
      </c>
      <c r="O37" s="22">
        <v>5</v>
      </c>
      <c r="P37" s="22">
        <v>30</v>
      </c>
      <c r="Q37" s="22">
        <v>30</v>
      </c>
      <c r="R37" s="22">
        <f t="shared" si="10"/>
        <v>5</v>
      </c>
      <c r="S37" s="22">
        <v>5</v>
      </c>
      <c r="T37" s="22">
        <f t="shared" si="4"/>
        <v>100</v>
      </c>
      <c r="U37" s="22">
        <f t="shared" si="5"/>
        <v>30</v>
      </c>
      <c r="V37" s="28" t="str">
        <f t="shared" si="13"/>
        <v/>
      </c>
      <c r="W37" s="22">
        <v>20</v>
      </c>
      <c r="X37" s="22">
        <v>5</v>
      </c>
      <c r="Y37" s="22">
        <v>5</v>
      </c>
      <c r="Z37" s="22">
        <v>30</v>
      </c>
      <c r="AA37" s="22">
        <v>30</v>
      </c>
      <c r="AB37" s="22">
        <f t="shared" si="11"/>
        <v>5</v>
      </c>
      <c r="AC37" s="22">
        <v>5</v>
      </c>
      <c r="AD37" s="22">
        <f t="shared" si="14"/>
        <v>100</v>
      </c>
      <c r="AE37" s="22">
        <f t="shared" si="7"/>
        <v>40</v>
      </c>
      <c r="AF37" s="28" t="str">
        <f t="shared" si="15"/>
        <v/>
      </c>
      <c r="AG37" s="22">
        <f t="shared" si="8"/>
        <v>100</v>
      </c>
      <c r="AH37" s="22" t="str">
        <f t="shared" si="9"/>
        <v>Aprobado</v>
      </c>
      <c r="AM37" s="35" t="str">
        <f t="shared" si="16"/>
        <v/>
      </c>
    </row>
    <row r="38" spans="1:39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30</v>
      </c>
      <c r="G38" s="22">
        <v>30</v>
      </c>
      <c r="H38" s="22">
        <f t="shared" si="0"/>
        <v>5</v>
      </c>
      <c r="I38" s="22">
        <v>5</v>
      </c>
      <c r="J38" s="22">
        <f t="shared" si="1"/>
        <v>100</v>
      </c>
      <c r="K38" s="22">
        <f t="shared" si="2"/>
        <v>30</v>
      </c>
      <c r="L38" s="28" t="str">
        <f t="shared" si="12"/>
        <v/>
      </c>
      <c r="M38" s="22">
        <v>20</v>
      </c>
      <c r="N38" s="22">
        <v>5</v>
      </c>
      <c r="O38" s="22">
        <v>5</v>
      </c>
      <c r="P38" s="22">
        <v>30</v>
      </c>
      <c r="Q38" s="22">
        <v>30</v>
      </c>
      <c r="R38" s="22">
        <f t="shared" si="10"/>
        <v>5</v>
      </c>
      <c r="S38" s="22">
        <v>5</v>
      </c>
      <c r="T38" s="22">
        <f t="shared" si="4"/>
        <v>100</v>
      </c>
      <c r="U38" s="22">
        <f t="shared" si="5"/>
        <v>30</v>
      </c>
      <c r="V38" s="28" t="str">
        <f t="shared" si="13"/>
        <v/>
      </c>
      <c r="W38" s="22">
        <v>20</v>
      </c>
      <c r="X38" s="22">
        <v>5</v>
      </c>
      <c r="Y38" s="22">
        <v>5</v>
      </c>
      <c r="Z38" s="22">
        <v>30</v>
      </c>
      <c r="AA38" s="22">
        <v>30</v>
      </c>
      <c r="AB38" s="22">
        <f t="shared" si="11"/>
        <v>5</v>
      </c>
      <c r="AC38" s="22">
        <v>5</v>
      </c>
      <c r="AD38" s="22">
        <f t="shared" si="14"/>
        <v>100</v>
      </c>
      <c r="AE38" s="22">
        <f t="shared" si="7"/>
        <v>40</v>
      </c>
      <c r="AF38" s="28" t="str">
        <f t="shared" si="15"/>
        <v/>
      </c>
      <c r="AG38" s="22">
        <f t="shared" si="8"/>
        <v>100</v>
      </c>
      <c r="AH38" s="22" t="str">
        <f t="shared" si="9"/>
        <v>Aprobado</v>
      </c>
      <c r="AM38" s="35" t="str">
        <f t="shared" si="16"/>
        <v/>
      </c>
    </row>
    <row r="39" spans="1:39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30</v>
      </c>
      <c r="G39" s="22">
        <v>30</v>
      </c>
      <c r="H39" s="22">
        <f t="shared" si="0"/>
        <v>5</v>
      </c>
      <c r="I39" s="22">
        <v>5</v>
      </c>
      <c r="J39" s="22">
        <f t="shared" si="1"/>
        <v>100</v>
      </c>
      <c r="K39" s="22">
        <f t="shared" si="2"/>
        <v>30</v>
      </c>
      <c r="L39" s="28" t="str">
        <f t="shared" si="12"/>
        <v/>
      </c>
      <c r="M39" s="22">
        <v>20</v>
      </c>
      <c r="N39" s="22">
        <v>5</v>
      </c>
      <c r="O39" s="22">
        <v>5</v>
      </c>
      <c r="P39" s="22">
        <v>30</v>
      </c>
      <c r="Q39" s="22">
        <v>30</v>
      </c>
      <c r="R39" s="22">
        <f t="shared" si="10"/>
        <v>5</v>
      </c>
      <c r="S39" s="22">
        <v>5</v>
      </c>
      <c r="T39" s="22">
        <f t="shared" si="4"/>
        <v>100</v>
      </c>
      <c r="U39" s="22">
        <f t="shared" si="5"/>
        <v>30</v>
      </c>
      <c r="V39" s="28" t="str">
        <f t="shared" si="13"/>
        <v/>
      </c>
      <c r="W39" s="22">
        <v>20</v>
      </c>
      <c r="X39" s="22">
        <v>5</v>
      </c>
      <c r="Y39" s="22">
        <v>5</v>
      </c>
      <c r="Z39" s="22">
        <v>30</v>
      </c>
      <c r="AA39" s="22">
        <v>30</v>
      </c>
      <c r="AB39" s="22">
        <f t="shared" si="11"/>
        <v>5</v>
      </c>
      <c r="AC39" s="22">
        <v>5</v>
      </c>
      <c r="AD39" s="22">
        <f t="shared" si="14"/>
        <v>100</v>
      </c>
      <c r="AE39" s="22">
        <f t="shared" si="7"/>
        <v>40</v>
      </c>
      <c r="AF39" s="28" t="str">
        <f t="shared" si="15"/>
        <v/>
      </c>
      <c r="AG39" s="22">
        <f t="shared" si="8"/>
        <v>100</v>
      </c>
      <c r="AH39" s="22" t="str">
        <f t="shared" si="9"/>
        <v>Aprobado</v>
      </c>
      <c r="AM39" s="35" t="str">
        <f t="shared" si="16"/>
        <v/>
      </c>
    </row>
    <row r="40" spans="1:39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30</v>
      </c>
      <c r="G40" s="22">
        <v>30</v>
      </c>
      <c r="H40" s="22">
        <f t="shared" si="0"/>
        <v>5</v>
      </c>
      <c r="I40" s="22">
        <v>5</v>
      </c>
      <c r="J40" s="22">
        <f t="shared" si="1"/>
        <v>100</v>
      </c>
      <c r="K40" s="22">
        <f t="shared" si="2"/>
        <v>30</v>
      </c>
      <c r="L40" s="28" t="str">
        <f t="shared" si="12"/>
        <v/>
      </c>
      <c r="M40" s="22">
        <v>20</v>
      </c>
      <c r="N40" s="22">
        <v>5</v>
      </c>
      <c r="O40" s="22">
        <v>5</v>
      </c>
      <c r="P40" s="22">
        <v>30</v>
      </c>
      <c r="Q40" s="22">
        <v>30</v>
      </c>
      <c r="R40" s="22">
        <f t="shared" si="10"/>
        <v>5</v>
      </c>
      <c r="S40" s="22">
        <v>5</v>
      </c>
      <c r="T40" s="22">
        <f t="shared" si="4"/>
        <v>100</v>
      </c>
      <c r="U40" s="22">
        <f t="shared" si="5"/>
        <v>30</v>
      </c>
      <c r="V40" s="28" t="str">
        <f t="shared" si="13"/>
        <v/>
      </c>
      <c r="W40" s="22">
        <v>20</v>
      </c>
      <c r="X40" s="22">
        <v>5</v>
      </c>
      <c r="Y40" s="22">
        <v>5</v>
      </c>
      <c r="Z40" s="22">
        <v>30</v>
      </c>
      <c r="AA40" s="22">
        <v>30</v>
      </c>
      <c r="AB40" s="22">
        <f t="shared" si="11"/>
        <v>5</v>
      </c>
      <c r="AC40" s="22">
        <v>5</v>
      </c>
      <c r="AD40" s="22">
        <f t="shared" si="14"/>
        <v>100</v>
      </c>
      <c r="AE40" s="22">
        <f t="shared" si="7"/>
        <v>40</v>
      </c>
      <c r="AF40" s="28" t="str">
        <f t="shared" si="15"/>
        <v/>
      </c>
      <c r="AG40" s="22">
        <f t="shared" si="8"/>
        <v>100</v>
      </c>
      <c r="AH40" s="22" t="str">
        <f t="shared" si="9"/>
        <v>Aprobado</v>
      </c>
      <c r="AM40" s="35" t="str">
        <f t="shared" si="16"/>
        <v/>
      </c>
    </row>
    <row r="41" spans="1:39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30</v>
      </c>
      <c r="G41" s="22">
        <v>30</v>
      </c>
      <c r="H41" s="22">
        <f t="shared" si="0"/>
        <v>5</v>
      </c>
      <c r="I41" s="22">
        <v>5</v>
      </c>
      <c r="J41" s="22">
        <f t="shared" si="1"/>
        <v>100</v>
      </c>
      <c r="K41" s="22">
        <f t="shared" si="2"/>
        <v>30</v>
      </c>
      <c r="L41" s="28" t="str">
        <f t="shared" si="12"/>
        <v/>
      </c>
      <c r="M41" s="22">
        <v>20</v>
      </c>
      <c r="N41" s="22">
        <v>5</v>
      </c>
      <c r="O41" s="22">
        <v>5</v>
      </c>
      <c r="P41" s="22">
        <v>30</v>
      </c>
      <c r="Q41" s="22">
        <v>30</v>
      </c>
      <c r="R41" s="22">
        <f t="shared" si="10"/>
        <v>5</v>
      </c>
      <c r="S41" s="22">
        <v>5</v>
      </c>
      <c r="T41" s="22">
        <f t="shared" si="4"/>
        <v>100</v>
      </c>
      <c r="U41" s="22">
        <f t="shared" si="5"/>
        <v>30</v>
      </c>
      <c r="V41" s="28" t="str">
        <f t="shared" si="13"/>
        <v/>
      </c>
      <c r="W41" s="22">
        <v>20</v>
      </c>
      <c r="X41" s="22">
        <v>5</v>
      </c>
      <c r="Y41" s="22">
        <v>5</v>
      </c>
      <c r="Z41" s="22">
        <v>30</v>
      </c>
      <c r="AA41" s="22">
        <v>30</v>
      </c>
      <c r="AB41" s="22">
        <f t="shared" si="11"/>
        <v>5</v>
      </c>
      <c r="AC41" s="22">
        <v>5</v>
      </c>
      <c r="AD41" s="22">
        <f t="shared" si="14"/>
        <v>100</v>
      </c>
      <c r="AE41" s="22">
        <f t="shared" si="7"/>
        <v>40</v>
      </c>
      <c r="AF41" s="28" t="str">
        <f t="shared" si="15"/>
        <v/>
      </c>
      <c r="AG41" s="22">
        <f t="shared" si="8"/>
        <v>100</v>
      </c>
      <c r="AH41" s="22" t="str">
        <f t="shared" si="9"/>
        <v>Aprobado</v>
      </c>
      <c r="AM41" s="35" t="str">
        <f t="shared" si="16"/>
        <v/>
      </c>
    </row>
    <row r="42" spans="1:39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30</v>
      </c>
      <c r="G42" s="22">
        <v>30</v>
      </c>
      <c r="H42" s="22">
        <f t="shared" si="0"/>
        <v>5</v>
      </c>
      <c r="I42" s="22">
        <v>5</v>
      </c>
      <c r="J42" s="22">
        <f t="shared" si="1"/>
        <v>100</v>
      </c>
      <c r="K42" s="22">
        <f t="shared" si="2"/>
        <v>30</v>
      </c>
      <c r="L42" s="28" t="str">
        <f>copyValue(B42)</f>
        <v/>
      </c>
      <c r="M42" s="22">
        <v>20</v>
      </c>
      <c r="N42" s="22">
        <v>5</v>
      </c>
      <c r="O42" s="22">
        <v>5</v>
      </c>
      <c r="P42" s="22">
        <v>30</v>
      </c>
      <c r="Q42" s="22">
        <v>30</v>
      </c>
      <c r="R42" s="22">
        <f t="shared" si="10"/>
        <v>5</v>
      </c>
      <c r="S42" s="22">
        <v>5</v>
      </c>
      <c r="T42" s="22">
        <f t="shared" si="4"/>
        <v>100</v>
      </c>
      <c r="U42" s="22">
        <f t="shared" si="5"/>
        <v>30</v>
      </c>
      <c r="V42" s="28" t="str">
        <f>copyValue(L42)</f>
        <v/>
      </c>
      <c r="W42" s="22">
        <v>20</v>
      </c>
      <c r="X42" s="22">
        <v>5</v>
      </c>
      <c r="Y42" s="22">
        <v>5</v>
      </c>
      <c r="Z42" s="22">
        <v>30</v>
      </c>
      <c r="AA42" s="22">
        <v>30</v>
      </c>
      <c r="AB42" s="22">
        <f t="shared" si="11"/>
        <v>5</v>
      </c>
      <c r="AC42" s="22">
        <v>5</v>
      </c>
      <c r="AD42" s="22">
        <f t="shared" si="14"/>
        <v>100</v>
      </c>
      <c r="AE42" s="22">
        <f t="shared" si="7"/>
        <v>40</v>
      </c>
      <c r="AF42" s="28" t="str">
        <f>copyValue(V42)</f>
        <v/>
      </c>
      <c r="AG42" s="22">
        <f t="shared" si="8"/>
        <v>100</v>
      </c>
      <c r="AH42" s="22" t="str">
        <f t="shared" si="9"/>
        <v>Aprobado</v>
      </c>
      <c r="AM42" s="35" t="str">
        <f t="shared" si="16"/>
        <v/>
      </c>
    </row>
    <row r="43" spans="1:39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30</v>
      </c>
      <c r="G43" s="22">
        <v>30</v>
      </c>
      <c r="H43" s="22">
        <f t="shared" si="0"/>
        <v>5</v>
      </c>
      <c r="I43" s="22">
        <v>5</v>
      </c>
      <c r="J43" s="22">
        <f t="shared" si="1"/>
        <v>100</v>
      </c>
      <c r="K43" s="22">
        <f t="shared" si="2"/>
        <v>30</v>
      </c>
      <c r="L43" s="28" t="str">
        <f t="shared" si="12"/>
        <v/>
      </c>
      <c r="M43" s="22">
        <v>20</v>
      </c>
      <c r="N43" s="22">
        <v>5</v>
      </c>
      <c r="O43" s="22">
        <v>5</v>
      </c>
      <c r="P43" s="22">
        <v>30</v>
      </c>
      <c r="Q43" s="22">
        <v>30</v>
      </c>
      <c r="R43" s="22">
        <f t="shared" si="10"/>
        <v>5</v>
      </c>
      <c r="S43" s="22">
        <v>5</v>
      </c>
      <c r="T43" s="22">
        <f t="shared" si="4"/>
        <v>100</v>
      </c>
      <c r="U43" s="22">
        <f t="shared" si="5"/>
        <v>30</v>
      </c>
      <c r="V43" s="28" t="str">
        <f t="shared" si="13"/>
        <v/>
      </c>
      <c r="W43" s="22">
        <v>20</v>
      </c>
      <c r="X43" s="22">
        <v>5</v>
      </c>
      <c r="Y43" s="22">
        <v>5</v>
      </c>
      <c r="Z43" s="22">
        <v>30</v>
      </c>
      <c r="AA43" s="22">
        <v>30</v>
      </c>
      <c r="AB43" s="22">
        <f t="shared" si="11"/>
        <v>5</v>
      </c>
      <c r="AC43" s="22">
        <v>5</v>
      </c>
      <c r="AD43" s="22">
        <f t="shared" si="14"/>
        <v>100</v>
      </c>
      <c r="AE43" s="22">
        <f t="shared" si="7"/>
        <v>40</v>
      </c>
      <c r="AF43" s="28" t="str">
        <f t="shared" si="15"/>
        <v/>
      </c>
      <c r="AG43" s="22">
        <f t="shared" si="8"/>
        <v>100</v>
      </c>
      <c r="AH43" s="22" t="str">
        <f t="shared" si="9"/>
        <v>Aprobado</v>
      </c>
      <c r="AM43" s="35" t="str">
        <f t="shared" si="16"/>
        <v/>
      </c>
    </row>
    <row r="44" spans="1:39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30</v>
      </c>
      <c r="G44" s="22">
        <v>30</v>
      </c>
      <c r="H44" s="22">
        <f t="shared" si="0"/>
        <v>5</v>
      </c>
      <c r="I44" s="22">
        <v>5</v>
      </c>
      <c r="J44" s="22">
        <f t="shared" si="1"/>
        <v>100</v>
      </c>
      <c r="K44" s="22">
        <f t="shared" si="2"/>
        <v>30</v>
      </c>
      <c r="L44" s="28" t="str">
        <f t="shared" si="12"/>
        <v/>
      </c>
      <c r="M44" s="22">
        <v>20</v>
      </c>
      <c r="N44" s="22">
        <v>5</v>
      </c>
      <c r="O44" s="22">
        <v>5</v>
      </c>
      <c r="P44" s="22">
        <v>30</v>
      </c>
      <c r="Q44" s="22">
        <v>30</v>
      </c>
      <c r="R44" s="22">
        <f t="shared" si="10"/>
        <v>5</v>
      </c>
      <c r="S44" s="22">
        <v>5</v>
      </c>
      <c r="T44" s="22">
        <f t="shared" si="4"/>
        <v>100</v>
      </c>
      <c r="U44" s="22">
        <f t="shared" si="5"/>
        <v>30</v>
      </c>
      <c r="V44" s="28" t="str">
        <f t="shared" si="13"/>
        <v/>
      </c>
      <c r="W44" s="22">
        <v>20</v>
      </c>
      <c r="X44" s="22">
        <v>5</v>
      </c>
      <c r="Y44" s="22">
        <v>5</v>
      </c>
      <c r="Z44" s="22">
        <v>30</v>
      </c>
      <c r="AA44" s="22">
        <v>30</v>
      </c>
      <c r="AB44" s="22">
        <f t="shared" si="11"/>
        <v>5</v>
      </c>
      <c r="AC44" s="22">
        <v>5</v>
      </c>
      <c r="AD44" s="22">
        <f t="shared" si="14"/>
        <v>100</v>
      </c>
      <c r="AE44" s="22">
        <f t="shared" si="7"/>
        <v>40</v>
      </c>
      <c r="AF44" s="28" t="str">
        <f t="shared" si="15"/>
        <v/>
      </c>
      <c r="AG44" s="22">
        <f t="shared" si="8"/>
        <v>100</v>
      </c>
      <c r="AH44" s="22" t="str">
        <f t="shared" si="9"/>
        <v>Aprobado</v>
      </c>
      <c r="AM44" s="35" t="str">
        <f t="shared" si="16"/>
        <v/>
      </c>
    </row>
    <row r="45" spans="1:39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30</v>
      </c>
      <c r="G45" s="22">
        <v>30</v>
      </c>
      <c r="H45" s="22">
        <f t="shared" si="0"/>
        <v>5</v>
      </c>
      <c r="I45" s="22">
        <v>5</v>
      </c>
      <c r="J45" s="22">
        <f t="shared" si="1"/>
        <v>100</v>
      </c>
      <c r="K45" s="22">
        <f t="shared" si="2"/>
        <v>30</v>
      </c>
      <c r="L45" s="28" t="str">
        <f t="shared" si="12"/>
        <v/>
      </c>
      <c r="M45" s="22">
        <v>20</v>
      </c>
      <c r="N45" s="22">
        <v>5</v>
      </c>
      <c r="O45" s="22">
        <v>5</v>
      </c>
      <c r="P45" s="22">
        <v>30</v>
      </c>
      <c r="Q45" s="22">
        <v>30</v>
      </c>
      <c r="R45" s="22">
        <f t="shared" si="10"/>
        <v>5</v>
      </c>
      <c r="S45" s="22">
        <v>5</v>
      </c>
      <c r="T45" s="22">
        <f t="shared" si="4"/>
        <v>100</v>
      </c>
      <c r="U45" s="22">
        <f t="shared" si="5"/>
        <v>30</v>
      </c>
      <c r="V45" s="28" t="str">
        <f t="shared" si="13"/>
        <v/>
      </c>
      <c r="W45" s="22">
        <v>20</v>
      </c>
      <c r="X45" s="22">
        <v>5</v>
      </c>
      <c r="Y45" s="22">
        <v>5</v>
      </c>
      <c r="Z45" s="22">
        <v>30</v>
      </c>
      <c r="AA45" s="22">
        <v>30</v>
      </c>
      <c r="AB45" s="22">
        <f t="shared" si="11"/>
        <v>5</v>
      </c>
      <c r="AC45" s="22">
        <v>5</v>
      </c>
      <c r="AD45" s="22">
        <f t="shared" si="14"/>
        <v>100</v>
      </c>
      <c r="AE45" s="22">
        <f t="shared" si="7"/>
        <v>40</v>
      </c>
      <c r="AF45" s="28" t="str">
        <f t="shared" si="15"/>
        <v/>
      </c>
      <c r="AG45" s="22">
        <f t="shared" si="8"/>
        <v>100</v>
      </c>
      <c r="AH45" s="22" t="str">
        <f t="shared" si="9"/>
        <v>Aprobado</v>
      </c>
      <c r="AM45" s="35" t="str">
        <f t="shared" si="16"/>
        <v/>
      </c>
    </row>
    <row r="46" spans="1:39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30</v>
      </c>
      <c r="G46" s="22">
        <v>30</v>
      </c>
      <c r="H46" s="22">
        <f t="shared" si="0"/>
        <v>5</v>
      </c>
      <c r="I46" s="22">
        <v>5</v>
      </c>
      <c r="J46" s="22">
        <f t="shared" si="1"/>
        <v>100</v>
      </c>
      <c r="K46" s="22">
        <f t="shared" si="2"/>
        <v>30</v>
      </c>
      <c r="L46" s="28" t="str">
        <f t="shared" si="12"/>
        <v/>
      </c>
      <c r="M46" s="22">
        <v>20</v>
      </c>
      <c r="N46" s="22">
        <v>5</v>
      </c>
      <c r="O46" s="22">
        <v>5</v>
      </c>
      <c r="P46" s="22">
        <v>30</v>
      </c>
      <c r="Q46" s="22">
        <v>30</v>
      </c>
      <c r="R46" s="22">
        <f t="shared" si="10"/>
        <v>5</v>
      </c>
      <c r="S46" s="22">
        <v>5</v>
      </c>
      <c r="T46" s="22">
        <f t="shared" si="4"/>
        <v>100</v>
      </c>
      <c r="U46" s="22">
        <f t="shared" si="5"/>
        <v>30</v>
      </c>
      <c r="V46" s="28" t="str">
        <f t="shared" si="13"/>
        <v/>
      </c>
      <c r="W46" s="22">
        <v>20</v>
      </c>
      <c r="X46" s="22">
        <v>5</v>
      </c>
      <c r="Y46" s="22">
        <v>5</v>
      </c>
      <c r="Z46" s="22">
        <v>30</v>
      </c>
      <c r="AA46" s="22">
        <v>30</v>
      </c>
      <c r="AB46" s="22">
        <f t="shared" si="11"/>
        <v>5</v>
      </c>
      <c r="AC46" s="22">
        <v>5</v>
      </c>
      <c r="AD46" s="22">
        <f t="shared" si="14"/>
        <v>100</v>
      </c>
      <c r="AE46" s="22">
        <f t="shared" si="7"/>
        <v>40</v>
      </c>
      <c r="AF46" s="28" t="str">
        <f t="shared" si="15"/>
        <v/>
      </c>
      <c r="AG46" s="22">
        <f t="shared" si="8"/>
        <v>100</v>
      </c>
      <c r="AH46" s="22" t="str">
        <f t="shared" si="9"/>
        <v>Aprobado</v>
      </c>
      <c r="AM46" s="35" t="str">
        <f t="shared" si="16"/>
        <v/>
      </c>
    </row>
    <row r="47" spans="1:39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30</v>
      </c>
      <c r="G47" s="22">
        <v>30</v>
      </c>
      <c r="H47" s="22">
        <f t="shared" si="0"/>
        <v>5</v>
      </c>
      <c r="I47" s="22">
        <v>5</v>
      </c>
      <c r="J47" s="22">
        <f t="shared" si="1"/>
        <v>100</v>
      </c>
      <c r="K47" s="22">
        <f t="shared" si="2"/>
        <v>30</v>
      </c>
      <c r="L47" s="28" t="str">
        <f t="shared" si="12"/>
        <v/>
      </c>
      <c r="M47" s="22">
        <v>20</v>
      </c>
      <c r="N47" s="22">
        <v>5</v>
      </c>
      <c r="O47" s="22">
        <v>5</v>
      </c>
      <c r="P47" s="22">
        <v>30</v>
      </c>
      <c r="Q47" s="22">
        <v>30</v>
      </c>
      <c r="R47" s="22">
        <f t="shared" si="10"/>
        <v>5</v>
      </c>
      <c r="S47" s="22">
        <v>5</v>
      </c>
      <c r="T47" s="22">
        <f t="shared" si="4"/>
        <v>100</v>
      </c>
      <c r="U47" s="22">
        <f t="shared" si="5"/>
        <v>30</v>
      </c>
      <c r="V47" s="28" t="str">
        <f t="shared" si="13"/>
        <v/>
      </c>
      <c r="W47" s="22">
        <v>20</v>
      </c>
      <c r="X47" s="22">
        <v>5</v>
      </c>
      <c r="Y47" s="22">
        <v>5</v>
      </c>
      <c r="Z47" s="22">
        <v>30</v>
      </c>
      <c r="AA47" s="22">
        <v>30</v>
      </c>
      <c r="AB47" s="22">
        <f t="shared" si="11"/>
        <v>5</v>
      </c>
      <c r="AC47" s="22">
        <v>5</v>
      </c>
      <c r="AD47" s="22">
        <f t="shared" si="14"/>
        <v>100</v>
      </c>
      <c r="AE47" s="22">
        <f t="shared" si="7"/>
        <v>40</v>
      </c>
      <c r="AF47" s="28" t="str">
        <f t="shared" si="15"/>
        <v/>
      </c>
      <c r="AG47" s="22">
        <f t="shared" si="8"/>
        <v>100</v>
      </c>
      <c r="AH47" s="22" t="str">
        <f t="shared" si="9"/>
        <v>Aprobado</v>
      </c>
      <c r="AM47" s="35" t="str">
        <f t="shared" si="16"/>
        <v/>
      </c>
    </row>
    <row r="48" spans="1:39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30</v>
      </c>
      <c r="G48" s="22">
        <v>30</v>
      </c>
      <c r="H48" s="22">
        <f t="shared" si="0"/>
        <v>5</v>
      </c>
      <c r="I48" s="22">
        <v>5</v>
      </c>
      <c r="J48" s="22">
        <f t="shared" si="1"/>
        <v>100</v>
      </c>
      <c r="K48" s="22">
        <f t="shared" si="2"/>
        <v>30</v>
      </c>
      <c r="L48" s="28" t="str">
        <f t="shared" si="12"/>
        <v/>
      </c>
      <c r="M48" s="22">
        <v>20</v>
      </c>
      <c r="N48" s="22">
        <v>5</v>
      </c>
      <c r="O48" s="22">
        <v>5</v>
      </c>
      <c r="P48" s="22">
        <v>30</v>
      </c>
      <c r="Q48" s="22">
        <v>30</v>
      </c>
      <c r="R48" s="22">
        <f t="shared" si="10"/>
        <v>5</v>
      </c>
      <c r="S48" s="22">
        <v>5</v>
      </c>
      <c r="T48" s="22">
        <f t="shared" si="4"/>
        <v>100</v>
      </c>
      <c r="U48" s="22">
        <f t="shared" si="5"/>
        <v>30</v>
      </c>
      <c r="V48" s="28" t="str">
        <f t="shared" si="13"/>
        <v/>
      </c>
      <c r="W48" s="22">
        <v>20</v>
      </c>
      <c r="X48" s="22">
        <v>5</v>
      </c>
      <c r="Y48" s="22">
        <v>5</v>
      </c>
      <c r="Z48" s="22">
        <v>30</v>
      </c>
      <c r="AA48" s="22">
        <v>30</v>
      </c>
      <c r="AB48" s="22">
        <f t="shared" si="11"/>
        <v>5</v>
      </c>
      <c r="AC48" s="22">
        <v>5</v>
      </c>
      <c r="AD48" s="22">
        <f t="shared" si="14"/>
        <v>100</v>
      </c>
      <c r="AE48" s="22">
        <f t="shared" si="7"/>
        <v>40</v>
      </c>
      <c r="AF48" s="28" t="str">
        <f t="shared" si="15"/>
        <v/>
      </c>
      <c r="AG48" s="22">
        <f t="shared" si="8"/>
        <v>100</v>
      </c>
      <c r="AH48" s="22" t="str">
        <f t="shared" si="9"/>
        <v>Aprobado</v>
      </c>
      <c r="AM48" s="35" t="str">
        <f t="shared" si="16"/>
        <v/>
      </c>
    </row>
    <row r="49" spans="1:39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30</v>
      </c>
      <c r="G49" s="24">
        <v>30</v>
      </c>
      <c r="H49" s="24">
        <f t="shared" si="0"/>
        <v>5</v>
      </c>
      <c r="I49" s="24">
        <v>5</v>
      </c>
      <c r="J49" s="24">
        <f t="shared" si="1"/>
        <v>100</v>
      </c>
      <c r="K49" s="24">
        <f t="shared" si="2"/>
        <v>30</v>
      </c>
      <c r="L49" s="28" t="str">
        <f t="shared" si="12"/>
        <v/>
      </c>
      <c r="M49" s="24">
        <v>20</v>
      </c>
      <c r="N49" s="24">
        <v>5</v>
      </c>
      <c r="O49" s="24">
        <v>5</v>
      </c>
      <c r="P49" s="24">
        <v>30</v>
      </c>
      <c r="Q49" s="24">
        <v>30</v>
      </c>
      <c r="R49" s="24">
        <f t="shared" si="10"/>
        <v>5</v>
      </c>
      <c r="S49" s="24">
        <v>5</v>
      </c>
      <c r="T49" s="24">
        <f t="shared" si="4"/>
        <v>100</v>
      </c>
      <c r="U49" s="24">
        <f t="shared" si="5"/>
        <v>30</v>
      </c>
      <c r="V49" s="28" t="str">
        <f t="shared" si="13"/>
        <v/>
      </c>
      <c r="W49" s="24">
        <v>20</v>
      </c>
      <c r="X49" s="24">
        <v>5</v>
      </c>
      <c r="Y49" s="24">
        <v>5</v>
      </c>
      <c r="Z49" s="24">
        <v>30</v>
      </c>
      <c r="AA49" s="24">
        <v>30</v>
      </c>
      <c r="AB49" s="24">
        <f t="shared" si="11"/>
        <v>5</v>
      </c>
      <c r="AC49" s="24">
        <v>5</v>
      </c>
      <c r="AD49" s="24">
        <f t="shared" si="14"/>
        <v>100</v>
      </c>
      <c r="AE49" s="24">
        <f t="shared" si="7"/>
        <v>40</v>
      </c>
      <c r="AF49" s="28" t="str">
        <f t="shared" si="15"/>
        <v/>
      </c>
      <c r="AG49" s="24">
        <f t="shared" si="8"/>
        <v>100</v>
      </c>
      <c r="AH49" s="24" t="str">
        <f t="shared" si="9"/>
        <v>Aprobado</v>
      </c>
      <c r="AM49" s="35" t="str">
        <f t="shared" si="16"/>
        <v/>
      </c>
    </row>
    <row r="50" spans="1:39" ht="12.75" customHeight="1" x14ac:dyDescent="0.2">
      <c r="A50" s="25"/>
      <c r="B50" s="25"/>
      <c r="AF50" s="7"/>
      <c r="AI50" s="18"/>
      <c r="AM50" s="35" t="str">
        <f t="shared" si="16"/>
        <v/>
      </c>
    </row>
    <row r="51" spans="1:39" ht="16.5" customHeight="1" x14ac:dyDescent="0.2">
      <c r="A51" s="25"/>
      <c r="B51" s="25"/>
      <c r="AI51" s="18"/>
    </row>
    <row r="52" spans="1:39" ht="25.5" customHeight="1" x14ac:dyDescent="0.2"/>
    <row r="53" spans="1:39" ht="12.75" x14ac:dyDescent="0.2"/>
    <row r="54" spans="1:39" ht="12.75" x14ac:dyDescent="0.2"/>
    <row r="55" spans="1:39" ht="12.75" x14ac:dyDescent="0.2"/>
    <row r="57" spans="1:39" ht="15.75" customHeight="1" x14ac:dyDescent="0.2">
      <c r="C57" s="35"/>
    </row>
  </sheetData>
  <mergeCells count="18">
    <mergeCell ref="AM9:AO9"/>
    <mergeCell ref="W8:AE8"/>
    <mergeCell ref="X9:Y9"/>
    <mergeCell ref="Z9:AA9"/>
    <mergeCell ref="AB9:AE9"/>
    <mergeCell ref="M8:U8"/>
    <mergeCell ref="M2:T2"/>
    <mergeCell ref="C8:K8"/>
    <mergeCell ref="H9:K9"/>
    <mergeCell ref="C3:F3"/>
    <mergeCell ref="P9:Q9"/>
    <mergeCell ref="N9:O9"/>
    <mergeCell ref="R9:U9"/>
    <mergeCell ref="P3:Q3"/>
    <mergeCell ref="R3:S3"/>
    <mergeCell ref="F9:G9"/>
    <mergeCell ref="D9:E9"/>
    <mergeCell ref="N3:O3"/>
  </mergeCells>
  <conditionalFormatting sqref="C8:K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20</xdr:col>
                    <xdr:colOff>304800</xdr:colOff>
                    <xdr:row>1</xdr:row>
                    <xdr:rowOff>57150</xdr:rowOff>
                  </from>
                  <to>
                    <xdr:col>20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2016-01-04T19:51:30Z</dcterms:modified>
</cp:coreProperties>
</file>